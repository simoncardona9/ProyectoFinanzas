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onfiguración" sheetId="1" r:id="rId4"/>
    <sheet state="visible" name="Dashboard" sheetId="2" r:id="rId5"/>
    <sheet state="visible" name="Responsabilidades" sheetId="3" r:id="rId6"/>
    <sheet state="visible" name="Facturación" sheetId="4" r:id="rId7"/>
    <sheet state="visible" name="Caja" sheetId="5" r:id="rId8"/>
    <sheet state="visible" name="Deudas USD" sheetId="6" r:id="rId9"/>
  </sheets>
  <definedNames>
    <definedName hidden="1" localSheetId="2" name="_xlnm._FilterDatabase">Responsabilidades!$A$3:$K$50</definedName>
  </definedNames>
  <calcPr/>
  <extLst>
    <ext uri="GoogleSheetsCustomDataVersion2">
      <go:sheetsCustomData xmlns:go="http://customooxmlschemas.google.com/" r:id="rId10" roundtripDataChecksum="JMm4bkvN73P5YLyEjZOWTw1F4AvCxU0W8+w+ssyDMMs="/>
    </ext>
  </extLst>
</workbook>
</file>

<file path=xl/sharedStrings.xml><?xml version="1.0" encoding="utf-8"?>
<sst xmlns="http://schemas.openxmlformats.org/spreadsheetml/2006/main" count="575" uniqueCount="252">
  <si>
    <t>Configuración — Setiembre 2026</t>
  </si>
  <si>
    <t>Dashboard financiero familiar — Setiembre 2026</t>
  </si>
  <si>
    <t>Facturación de clases e IVA — Setiembre 2026</t>
  </si>
  <si>
    <t>Forecast UYU</t>
  </si>
  <si>
    <t>Estado</t>
  </si>
  <si>
    <t>Monto</t>
  </si>
  <si>
    <t>IVA / DELTA</t>
  </si>
  <si>
    <t>Parámetro</t>
  </si>
  <si>
    <t>Deudas USD</t>
  </si>
  <si>
    <t>Alumno</t>
  </si>
  <si>
    <t>Ingresos cobrados</t>
  </si>
  <si>
    <t>Cantidad</t>
  </si>
  <si>
    <t>Precio unitario</t>
  </si>
  <si>
    <t>Bruto</t>
  </si>
  <si>
    <t>Valor</t>
  </si>
  <si>
    <t>Base sin IVA</t>
  </si>
  <si>
    <t>IVA</t>
  </si>
  <si>
    <t>Cotización USD → UYU</t>
  </si>
  <si>
    <t>Mes de prestación</t>
  </si>
  <si>
    <t>Enviado a DELTA</t>
  </si>
  <si>
    <t>IVA pendiente DELTA</t>
  </si>
  <si>
    <t>Notas</t>
  </si>
  <si>
    <t>Confirmado / pendiente de pago</t>
  </si>
  <si>
    <t>Mes</t>
  </si>
  <si>
    <t>Dominique</t>
  </si>
  <si>
    <t>Setiembre</t>
  </si>
  <si>
    <t>Año</t>
  </si>
  <si>
    <t>Nota</t>
  </si>
  <si>
    <t>Actualizar cotización si cambia</t>
  </si>
  <si>
    <t>Horas TEC a facturar</t>
  </si>
  <si>
    <t>Tarifa TEC por hora (UYU)</t>
  </si>
  <si>
    <t>IVA TEC</t>
  </si>
  <si>
    <t>Tarifa TEC c/IVA por hora</t>
  </si>
  <si>
    <t>IVA julio — pagar en setiembre</t>
  </si>
  <si>
    <t>Scotiabank</t>
  </si>
  <si>
    <t>Ingresos pendientes / programados</t>
  </si>
  <si>
    <t>No</t>
  </si>
  <si>
    <t>4 clases confirmadas; pendiente de cobro</t>
  </si>
  <si>
    <t>A confirmar</t>
  </si>
  <si>
    <t>Kelsey</t>
  </si>
  <si>
    <t>Responsabilidades del mes — Setiembre 2026</t>
  </si>
  <si>
    <t>Único ingreso de clases todavía a confirmar</t>
  </si>
  <si>
    <t>Alexandra</t>
  </si>
  <si>
    <t>IVA agosto — pagar en setiembre</t>
  </si>
  <si>
    <t>BBVA</t>
  </si>
  <si>
    <t>Fecha</t>
  </si>
  <si>
    <t>Pagado mes anterior</t>
  </si>
  <si>
    <t>Daniela y Jorge</t>
  </si>
  <si>
    <t>Categoría</t>
  </si>
  <si>
    <t>Ingresos proyectados</t>
  </si>
  <si>
    <t>Descripción</t>
  </si>
  <si>
    <t>Moneda</t>
  </si>
  <si>
    <t>Prioridad</t>
  </si>
  <si>
    <t>Clase de setiembre pagada en agosto; $0 de caja nueva en setiembre</t>
  </si>
  <si>
    <t>Cobrado</t>
  </si>
  <si>
    <t>Miguel</t>
  </si>
  <si>
    <t>IVA total a pagar en setiembre</t>
  </si>
  <si>
    <t>Tipo</t>
  </si>
  <si>
    <t>Cuenta / medio</t>
  </si>
  <si>
    <t>4 clases ya pagadas</t>
  </si>
  <si>
    <t>Santander</t>
  </si>
  <si>
    <t>Monto pendiente</t>
  </si>
  <si>
    <t>✅ Pagado</t>
  </si>
  <si>
    <t>Responsabilidades pendientes</t>
  </si>
  <si>
    <t>Flavia</t>
  </si>
  <si>
    <t>IVA generado en setiembre — reservar</t>
  </si>
  <si>
    <t>3 clases confirmadas; pendiente de cobro</t>
  </si>
  <si>
    <t>Servicios</t>
  </si>
  <si>
    <t>Anand y Gaby</t>
  </si>
  <si>
    <t>UTE Pinamar</t>
  </si>
  <si>
    <t>Total USD</t>
  </si>
  <si>
    <t>UYU</t>
  </si>
  <si>
    <t>Responsabilidades totales programadas y pagos USD no compensados</t>
  </si>
  <si>
    <t>9 clases previstas; 1 clase estaba a favor, por eso se cobran 8 × $583</t>
  </si>
  <si>
    <t>TEC</t>
  </si>
  <si>
    <t>Alta</t>
  </si>
  <si>
    <t>Obligatorio</t>
  </si>
  <si>
    <t>Banred</t>
  </si>
  <si>
    <t>Agosto</t>
  </si>
  <si>
    <t>Prepago anterior</t>
  </si>
  <si>
    <t>Mihdí y Facundo</t>
  </si>
  <si>
    <t>Ago-Oct</t>
  </si>
  <si>
    <t>Sí</t>
  </si>
  <si>
    <t>32 clases pagadas por adelantado; $0 de caja nueva en setiembre</t>
  </si>
  <si>
    <t>IVA setiembre ya enviado a DELTA</t>
  </si>
  <si>
    <t>Resultado proyectado</t>
  </si>
  <si>
    <t>IVA setiembre pendiente de reservar</t>
  </si>
  <si>
    <t>Caja real hoy en cuentas</t>
  </si>
  <si>
    <t>OSE</t>
  </si>
  <si>
    <t>Regla IVA: los USD 250 enviados a Scotia desde DualBoot compensan IVA usado temporalmente en otra cuenta. Se muestran como reduccion de deuda e IVA usado, pero no como ingreso nuevo ni como gasto adicional del resultado proyectado.</t>
  </si>
  <si>
    <t>Ingresos previstos conocidos</t>
  </si>
  <si>
    <t>Monto UYU</t>
  </si>
  <si>
    <t>DualBoot — USD 4.200 convertidos</t>
  </si>
  <si>
    <t>Caja / Ingresos — Setiembre 2026</t>
  </si>
  <si>
    <t>Responsabilidades reincorporadas</t>
  </si>
  <si>
    <t>Fuente</t>
  </si>
  <si>
    <t>Concepto</t>
  </si>
  <si>
    <t>Disponible para gastar</t>
  </si>
  <si>
    <t>Monto UYU utilizable</t>
  </si>
  <si>
    <t>Observaciones</t>
  </si>
  <si>
    <t>Abuela Tati — SUMMUM + BPS Tati</t>
  </si>
  <si>
    <t>DualBoot</t>
  </si>
  <si>
    <t>Tarjetas</t>
  </si>
  <si>
    <t>Sueldo DB</t>
  </si>
  <si>
    <t>USD</t>
  </si>
  <si>
    <t>Plan USD — V10</t>
  </si>
  <si>
    <t>Scotiabank UYU</t>
  </si>
  <si>
    <t>Monto USD</t>
  </si>
  <si>
    <t>Arrastres agosto reincorporados</t>
  </si>
  <si>
    <t>Se convierten los USD 4.200 completos a $39; no se pagan deudas USD ni se reserva USD este mes.</t>
  </si>
  <si>
    <t>Programado</t>
  </si>
  <si>
    <t>Abuela Tati</t>
  </si>
  <si>
    <t>Aporte para SUMMUM + BPS Tati</t>
  </si>
  <si>
    <t>TEC — 54.7 h neto</t>
  </si>
  <si>
    <t>Ingreso DualBoot</t>
  </si>
  <si>
    <t>Ítems a revisar (no sumados)</t>
  </si>
  <si>
    <t>$18.275 SUMMUM + $6.326 BPS Tati</t>
  </si>
  <si>
    <t>TEC — IVA 22%</t>
  </si>
  <si>
    <t>Clases</t>
  </si>
  <si>
    <t>Ingresos de alumnos</t>
  </si>
  <si>
    <t>⏳ Pendiente</t>
  </si>
  <si>
    <t>Pago deuda USD</t>
  </si>
  <si>
    <t>Usar Facturación como detalle</t>
  </si>
  <si>
    <t>IVA usado temporalmente para pago Scotia</t>
  </si>
  <si>
    <t>Contribución Fondo Bahá'í</t>
  </si>
  <si>
    <t>Total responsabilidades UYU</t>
  </si>
  <si>
    <t>AEN — viaje a Bolivia</t>
  </si>
  <si>
    <t>TEC — total a cobrar</t>
  </si>
  <si>
    <t>Media</t>
  </si>
  <si>
    <t>USD 250 de DualBoot usados para pagar Scotia. Es IVA utilizado temporalmente; no tratar como caja disponible.</t>
  </si>
  <si>
    <t>Reserva USD</t>
  </si>
  <si>
    <t>Saldo inicial</t>
  </si>
  <si>
    <t>Postergable</t>
  </si>
  <si>
    <t>Pendiente de agosto</t>
  </si>
  <si>
    <t>Los ítems 🔎 Revisar quedan en $0 hasta confirmar si siguen debiéndose.</t>
  </si>
  <si>
    <t>Particulares — cobrados</t>
  </si>
  <si>
    <t>USD a convertir</t>
  </si>
  <si>
    <t>Particulares — confirmados por cobrar</t>
  </si>
  <si>
    <t>UTE Colón</t>
  </si>
  <si>
    <t>Tipo de cambio UYU/USD</t>
  </si>
  <si>
    <t>IVA y caja disponible</t>
  </si>
  <si>
    <t>Particulares — Kelsey a confirmar</t>
  </si>
  <si>
    <t>Deuda USD a octubre</t>
  </si>
  <si>
    <t>Total confirmado/esperado sin Kelsey</t>
  </si>
  <si>
    <t>IVA setiembre generado</t>
  </si>
  <si>
    <t>Resultado sin Kelsey</t>
  </si>
  <si>
    <t>Santander UYU</t>
  </si>
  <si>
    <t>IVA usado temporalmente para Scotia</t>
  </si>
  <si>
    <t>Total con Kelsey (si confirma 4)</t>
  </si>
  <si>
    <t>IVA restante no disponible</t>
  </si>
  <si>
    <t>Resultado con Kelsey</t>
  </si>
  <si>
    <t>Caja disponible ajustada</t>
  </si>
  <si>
    <t>USD deuda pagada en setiembre</t>
  </si>
  <si>
    <t>Decision pendiente</t>
  </si>
  <si>
    <t>Reponer IVA usado o enviar saldo a DELTA</t>
  </si>
  <si>
    <t>USD que pasa a octubre</t>
  </si>
  <si>
    <t>Impuestos vehículo</t>
  </si>
  <si>
    <t>Scotia USD 250</t>
  </si>
  <si>
    <t>SUCIVE — próxima cuota</t>
  </si>
  <si>
    <t>Movimiento interno: no aumenta ingresos ni resultado proyectado</t>
  </si>
  <si>
    <t>Prestamo</t>
  </si>
  <si>
    <t>Cargo tasa banco</t>
  </si>
  <si>
    <t>Cargo tasa contralor</t>
  </si>
  <si>
    <t>Deudas de tarjetas en USD</t>
  </si>
  <si>
    <t>ANTEL Móvil</t>
  </si>
  <si>
    <t>Tarjeta</t>
  </si>
  <si>
    <t>Deuda inicial USD</t>
  </si>
  <si>
    <t>Pagado acumulado USD</t>
  </si>
  <si>
    <t>Saldo pendiente USD</t>
  </si>
  <si>
    <t>ANTEL Móvil 2</t>
  </si>
  <si>
    <t>En cuotas</t>
  </si>
  <si>
    <t>Registrar pagos parciales abajo</t>
  </si>
  <si>
    <t>Mismo importe proyectado que ANTEL Móvil 1</t>
  </si>
  <si>
    <t>Pagada</t>
  </si>
  <si>
    <t>Pago total ya realizado</t>
  </si>
  <si>
    <t>Totales</t>
  </si>
  <si>
    <t>BBVA UYU</t>
  </si>
  <si>
    <t>Pago USD</t>
  </si>
  <si>
    <t>Cotización</t>
  </si>
  <si>
    <t>Equivalente UYU</t>
  </si>
  <si>
    <t>Pago total</t>
  </si>
  <si>
    <t>Pago parcial</t>
  </si>
  <si>
    <t>Aportes</t>
  </si>
  <si>
    <t>BPS Lu (Tarjeta Santander)</t>
  </si>
  <si>
    <t>BPS Tati (Tarjeta Santander)</t>
  </si>
  <si>
    <t>Aportes profesionales</t>
  </si>
  <si>
    <t>Caja de Profesionales</t>
  </si>
  <si>
    <t>➡️ Pasa a próximo mes</t>
  </si>
  <si>
    <t>Hogar / mantenimiento</t>
  </si>
  <si>
    <t>Cambio de correa del secarropas</t>
  </si>
  <si>
    <t>Postergado</t>
  </si>
  <si>
    <t>Pasa a octubre: estimado $2.800</t>
  </si>
  <si>
    <t>Gastos bancarios - automático</t>
  </si>
  <si>
    <t>Comisión caja de ahorros</t>
  </si>
  <si>
    <t>Comisión cuenta corriente</t>
  </si>
  <si>
    <t>➖ No corresponde</t>
  </si>
  <si>
    <t>Impuestos municipales</t>
  </si>
  <si>
    <t>Contribución casa Pinamar</t>
  </si>
  <si>
    <t>Baja</t>
  </si>
  <si>
    <t>No corresponde</t>
  </si>
  <si>
    <t>No se paga este mes</t>
  </si>
  <si>
    <t>Contribución terreno Abuela</t>
  </si>
  <si>
    <t>Impuestos</t>
  </si>
  <si>
    <t>DELTA / DGI — $8.039 incluido en conciliación de IVA</t>
  </si>
  <si>
    <t>Referencia</t>
  </si>
  <si>
    <t>No sumar aparte del IVA julio + agosto</t>
  </si>
  <si>
    <t>DELTA / DGI — registro anterior de $8.039</t>
  </si>
  <si>
    <t>No sumar aparte: IVA setiembre se calcula como julio + agosto</t>
  </si>
  <si>
    <t>Préstamos</t>
  </si>
  <si>
    <t>Deuda con Amín</t>
  </si>
  <si>
    <t>Pasa a octubre: $2.700</t>
  </si>
  <si>
    <t>Servicios / suscripciones</t>
  </si>
  <si>
    <t>Fixed — arrastre</t>
  </si>
  <si>
    <t>Pendiente / faltaba incorporar</t>
  </si>
  <si>
    <t>FONASA (Tarjeta Santander)</t>
  </si>
  <si>
    <t>IVA a pagar en setiembre — facturación julio + agosto</t>
  </si>
  <si>
    <t>Julio $15.033 + Agosto $11.522,23</t>
  </si>
  <si>
    <t>Educación</t>
  </si>
  <si>
    <t>Kali</t>
  </si>
  <si>
    <t>Actividades</t>
  </si>
  <si>
    <t>Kung Fu — cuota habitual + adicional</t>
  </si>
  <si>
    <t>$5.240 agosto + $2.000 adicional</t>
  </si>
  <si>
    <t>Salarios</t>
  </si>
  <si>
    <t>Lizet — jornal semana 1</t>
  </si>
  <si>
    <t>$1500 + $170 viáticos</t>
  </si>
  <si>
    <t>Lizet — jornal semana 2</t>
  </si>
  <si>
    <t>OCA — pago total</t>
  </si>
  <si>
    <t>Pago total; mínimo $7.167</t>
  </si>
  <si>
    <t>Lizet — jornal semana 3</t>
  </si>
  <si>
    <t>Lizet — jornal semana 4</t>
  </si>
  <si>
    <t>Contadora</t>
  </si>
  <si>
    <t>Mariam</t>
  </si>
  <si>
    <t>Natación</t>
  </si>
  <si>
    <t>Portuarios</t>
  </si>
  <si>
    <t>Portuarios — trasladado de agosto</t>
  </si>
  <si>
    <t>Arrastre agosto</t>
  </si>
  <si>
    <t>Préstamo amortizable</t>
  </si>
  <si>
    <t>Salud</t>
  </si>
  <si>
    <t>Summum</t>
  </si>
  <si>
    <t>Tasa contralor (ajuste julio)</t>
  </si>
  <si>
    <t>Intendencia — arrastre agosto</t>
  </si>
  <si>
    <t>Cuidados</t>
  </si>
  <si>
    <t>Tati — cuidado de Amín y Anís</t>
  </si>
  <si>
    <t>Desglose compartido</t>
  </si>
  <si>
    <t>Terapia</t>
  </si>
  <si>
    <t>Yamile</t>
  </si>
  <si>
    <t>ANTEL Hogar</t>
  </si>
  <si>
    <t>OSE MVD — estimado</t>
  </si>
  <si>
    <t>Estimación; actualizar al llegar factura</t>
  </si>
  <si>
    <t>Seguros - Débito automático</t>
  </si>
  <si>
    <t>Zurich Santander (PAC Débito)</t>
  </si>
  <si>
    <t>Pendiente de agosto / Santander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</si>
</sst>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7">
    <numFmt numFmtId="164" formatCode="$#,##0.00;[Red]($#,##0.00);-"/>
    <numFmt numFmtId="165" formatCode="$#,##0.00"/>
    <numFmt numFmtId="166" formatCode="&quot;USD &quot;#,##0.00;[Red](&quot;USD &quot;#,##0.00);-"/>
    <numFmt numFmtId="167" formatCode="d/M/yyyy"/>
    <numFmt numFmtId="168" formatCode="#,##0.00;[Red](#,##0.00);-"/>
    <numFmt numFmtId="169" formatCode="dd/mm/yyyy"/>
    <numFmt numFmtId="170" formatCode="$0.00"/>
  </numFmts>
  <fonts count="11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1.0"/>
      <color rgb="FFFFFFFF"/>
      <name val="Carlito"/>
    </font>
    <font>
      <color theme="1"/>
      <name val="Carlito"/>
    </font>
    <font>
      <sz val="11.0"/>
      <color rgb="FF0000FF"/>
      <name val="Carlito"/>
    </font>
    <font>
      <b/>
      <sz val="11.0"/>
      <color theme="1"/>
      <name val="Carlito"/>
    </font>
    <font>
      <b/>
      <sz val="11.0"/>
      <color rgb="FF0000FF"/>
      <name val="Carlito"/>
    </font>
    <font>
      <sz val="11.0"/>
      <color theme="1"/>
      <name val="Carlito"/>
    </font>
    <font>
      <sz val="11.0"/>
      <color rgb="FF000000"/>
      <name val="Carlito"/>
    </font>
    <font>
      <b/>
      <sz val="11.0"/>
      <color rgb="FF7F6000"/>
      <name val="Carlito"/>
    </font>
    <font>
      <color theme="1"/>
      <name val="Carlito"/>
      <scheme val="minor"/>
    </font>
  </fonts>
  <fills count="10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2F75B5"/>
        <bgColor rgb="FF2F75B5"/>
      </patternFill>
    </fill>
    <fill>
      <patternFill patternType="solid">
        <fgColor rgb="FFFFF2CC"/>
        <bgColor rgb="FFFFF2CC"/>
      </patternFill>
    </fill>
    <fill>
      <patternFill patternType="solid">
        <fgColor rgb="FFE2F0D9"/>
        <bgColor rgb="FFE2F0D9"/>
      </patternFill>
    </fill>
    <fill>
      <patternFill patternType="solid">
        <fgColor rgb="FF1F4E78"/>
        <bgColor rgb="FF1F4E78"/>
      </patternFill>
    </fill>
    <fill>
      <patternFill patternType="solid">
        <fgColor rgb="FFFFFF00"/>
        <bgColor rgb="FFFFFF00"/>
      </patternFill>
    </fill>
    <fill>
      <patternFill patternType="solid">
        <fgColor rgb="FF17324D"/>
        <bgColor rgb="FF17324D"/>
      </patternFill>
    </fill>
    <fill>
      <patternFill patternType="solid">
        <fgColor rgb="FFD9EAF7"/>
        <bgColor rgb="FFD9EAF7"/>
      </patternFill>
    </fill>
  </fills>
  <borders count="2">
    <border/>
    <border>
      <top style="thin">
        <color rgb="FF17324D"/>
      </top>
    </border>
  </borders>
  <cellStyleXfs count="1">
    <xf borderId="0" fillId="0" fontId="0" numFmtId="0" applyAlignment="1" applyFont="1"/>
  </cellStyleXfs>
  <cellXfs count="55">
    <xf borderId="0" fillId="0" fontId="0" numFmtId="0" xfId="0" applyAlignment="1" applyFont="1">
      <alignment readingOrder="0" shrinkToFit="0" vertical="bottom" wrapText="0"/>
    </xf>
    <xf borderId="0" fillId="2" fontId="1" numFmtId="0" xfId="0" applyFill="1" applyFont="1"/>
    <xf borderId="0" fillId="2" fontId="1" numFmtId="0" xfId="0" applyAlignment="1" applyFill="1" applyFont="1">
      <alignment shrinkToFit="0" wrapText="1"/>
    </xf>
    <xf borderId="0" fillId="3" fontId="2" numFmtId="0" xfId="0" applyAlignment="1" applyFill="1" applyFont="1">
      <alignment horizontal="center"/>
    </xf>
    <xf borderId="0" fillId="3" fontId="2" numFmtId="0" xfId="0" applyAlignment="1" applyFill="1" applyFont="1">
      <alignment shrinkToFit="0" wrapText="1"/>
    </xf>
    <xf borderId="0" fillId="3" fontId="2" numFmtId="0" xfId="0" applyFill="1" applyFont="1"/>
    <xf borderId="0" fillId="0" fontId="3" numFmtId="0" xfId="0" applyFont="1"/>
    <xf borderId="0" fillId="4" fontId="4" numFmtId="0" xfId="0" applyFill="1" applyFont="1"/>
    <xf borderId="0" fillId="0" fontId="4" numFmtId="164" xfId="0" applyFont="1" applyNumberFormat="1"/>
    <xf borderId="0" fillId="5" fontId="5" numFmtId="0" xfId="0" applyFill="1" applyFont="1"/>
    <xf borderId="0" fillId="4" fontId="6" numFmtId="165" xfId="0" applyFill="1" applyFont="1" applyNumberFormat="1"/>
    <xf borderId="0" fillId="0" fontId="7" numFmtId="9" xfId="0" applyFont="1" applyNumberFormat="1"/>
    <xf borderId="0" fillId="0" fontId="7" numFmtId="164" xfId="0" applyFont="1" applyNumberFormat="1"/>
    <xf borderId="0" fillId="0" fontId="7" numFmtId="165" xfId="0" applyFont="1" applyNumberFormat="1"/>
    <xf borderId="0" fillId="0" fontId="7" numFmtId="166" xfId="0" applyFont="1" applyNumberFormat="1"/>
    <xf borderId="0" fillId="0" fontId="5" numFmtId="0" xfId="0" applyAlignment="1" applyFont="1">
      <alignment horizontal="left" readingOrder="0" shrinkToFit="0" vertical="center" wrapText="1"/>
    </xf>
    <xf borderId="0" fillId="0" fontId="8" numFmtId="164" xfId="0" applyFont="1" applyNumberFormat="1"/>
    <xf borderId="0" fillId="0" fontId="3" numFmtId="0" xfId="0" applyAlignment="1" applyFont="1">
      <alignment shrinkToFit="0" vertical="center" wrapText="0"/>
    </xf>
    <xf borderId="0" fillId="0" fontId="7" numFmtId="167" xfId="0" applyAlignment="1" applyFont="1" applyNumberFormat="1">
      <alignment shrinkToFit="0" vertical="center" wrapText="0"/>
    </xf>
    <xf borderId="0" fillId="0" fontId="3" numFmtId="0" xfId="0" applyAlignment="1" applyFont="1">
      <alignment shrinkToFit="0" vertical="center" wrapText="0"/>
    </xf>
    <xf borderId="0" fillId="0" fontId="4" numFmtId="164" xfId="0" applyAlignment="1" applyFont="1" applyNumberFormat="1">
      <alignment shrinkToFit="0" vertical="center" wrapText="0"/>
    </xf>
    <xf borderId="0" fillId="0" fontId="3" numFmtId="164" xfId="0" applyFont="1" applyNumberFormat="1"/>
    <xf borderId="0" fillId="0" fontId="7" numFmtId="164" xfId="0" applyAlignment="1" applyFont="1" applyNumberFormat="1">
      <alignment shrinkToFit="0" vertical="center" wrapText="0"/>
    </xf>
    <xf borderId="0" fillId="5" fontId="5" numFmtId="164" xfId="0" applyFill="1" applyFont="1" applyNumberFormat="1"/>
    <xf borderId="0" fillId="4" fontId="6" numFmtId="164" xfId="0" applyFill="1" applyFont="1" applyNumberFormat="1"/>
    <xf borderId="0" fillId="4" fontId="9" numFmtId="0" xfId="0" applyAlignment="1" applyFill="1" applyFont="1">
      <alignment shrinkToFit="0" vertical="center" wrapText="1"/>
    </xf>
    <xf borderId="0" fillId="3" fontId="2" numFmtId="164" xfId="0" applyFill="1" applyFont="1" applyNumberFormat="1"/>
    <xf borderId="0" fillId="0" fontId="3" numFmtId="0" xfId="0" applyAlignment="1" applyFont="1">
      <alignment readingOrder="0" shrinkToFit="0" vertical="center" wrapText="0"/>
    </xf>
    <xf borderId="0" fillId="6" fontId="2" numFmtId="0" xfId="0" applyFill="1" applyFont="1"/>
    <xf borderId="0" fillId="6" fontId="2" numFmtId="164" xfId="0" applyFill="1" applyFont="1" applyNumberFormat="1"/>
    <xf borderId="0" fillId="0" fontId="10" numFmtId="167" xfId="0" applyAlignment="1" applyFont="1" applyNumberFormat="1">
      <alignment shrinkToFit="0" vertical="center" wrapText="0"/>
    </xf>
    <xf borderId="0" fillId="0" fontId="7" numFmtId="164" xfId="0" applyAlignment="1" applyFont="1" applyNumberFormat="1">
      <alignment shrinkToFit="0" vertical="center" wrapText="0"/>
    </xf>
    <xf borderId="0" fillId="4" fontId="7" numFmtId="0" xfId="0" applyAlignment="1" applyFill="1" applyFont="1">
      <alignment shrinkToFit="0" wrapText="1"/>
    </xf>
    <xf borderId="0" fillId="0" fontId="7" numFmtId="168" xfId="0" applyFont="1" applyNumberFormat="1"/>
    <xf borderId="0" fillId="0" fontId="8" numFmtId="164" xfId="0" applyAlignment="1" applyFont="1" applyNumberFormat="1">
      <alignment shrinkToFit="0" vertical="center" wrapText="0"/>
    </xf>
    <xf borderId="0" fillId="0" fontId="4" numFmtId="164" xfId="0" applyAlignment="1" applyFont="1" applyNumberFormat="1">
      <alignment readingOrder="0" shrinkToFit="0" vertical="center" wrapText="0"/>
    </xf>
    <xf borderId="0" fillId="7" fontId="4" numFmtId="164" xfId="0" applyFill="1" applyFont="1" applyNumberFormat="1"/>
    <xf borderId="0" fillId="0" fontId="10" numFmtId="0" xfId="0" applyFont="1"/>
    <xf borderId="0" fillId="0" fontId="10" numFmtId="164" xfId="0" applyFont="1" applyNumberFormat="1"/>
    <xf borderId="0" fillId="4" fontId="5" numFmtId="0" xfId="0" applyFill="1" applyFont="1"/>
    <xf borderId="0" fillId="4" fontId="5" numFmtId="164" xfId="0" applyFill="1" applyFont="1" applyNumberFormat="1"/>
    <xf borderId="0" fillId="0" fontId="3" numFmtId="164" xfId="0" applyAlignment="1" applyFont="1" applyNumberFormat="1">
      <alignment shrinkToFit="0" vertical="center" wrapText="0"/>
    </xf>
    <xf borderId="0" fillId="8" fontId="1" numFmtId="0" xfId="0" applyFill="1" applyFont="1"/>
    <xf borderId="0" fillId="0" fontId="7" numFmtId="0" xfId="0" applyAlignment="1" applyFont="1">
      <alignment vertical="bottom"/>
    </xf>
    <xf borderId="0" fillId="3" fontId="2" numFmtId="0" xfId="0" applyAlignment="1" applyFill="1" applyFont="1">
      <alignment horizontal="center" shrinkToFit="0" wrapText="1"/>
    </xf>
    <xf borderId="0" fillId="0" fontId="7" numFmtId="166" xfId="0" applyAlignment="1" applyFont="1" applyNumberFormat="1">
      <alignment horizontal="right" vertical="bottom"/>
    </xf>
    <xf borderId="0" fillId="0" fontId="7" numFmtId="169" xfId="0" applyAlignment="1" applyFont="1" applyNumberFormat="1">
      <alignment vertical="bottom"/>
    </xf>
    <xf borderId="0" fillId="0" fontId="7" numFmtId="166" xfId="0" applyAlignment="1" applyFont="1" applyNumberFormat="1">
      <alignment vertical="bottom"/>
    </xf>
    <xf borderId="1" fillId="9" fontId="5" numFmtId="0" xfId="0" applyAlignment="1" applyBorder="1" applyFill="1" applyFont="1">
      <alignment vertical="bottom"/>
    </xf>
    <xf borderId="1" fillId="9" fontId="5" numFmtId="166" xfId="0" applyAlignment="1" applyBorder="1" applyFill="1" applyFont="1" applyNumberFormat="1">
      <alignment horizontal="right" vertical="bottom"/>
    </xf>
    <xf borderId="1" fillId="9" fontId="7" numFmtId="0" xfId="0" applyAlignment="1" applyBorder="1" applyFill="1" applyFont="1">
      <alignment vertical="bottom"/>
    </xf>
    <xf borderId="0" fillId="0" fontId="7" numFmtId="169" xfId="0" applyAlignment="1" applyFont="1" applyNumberFormat="1">
      <alignment horizontal="right" vertical="bottom"/>
    </xf>
    <xf borderId="0" fillId="0" fontId="7" numFmtId="170" xfId="0" applyAlignment="1" applyFont="1" applyNumberFormat="1">
      <alignment horizontal="right" vertical="bottom"/>
    </xf>
    <xf borderId="0" fillId="0" fontId="7" numFmtId="164" xfId="0" applyAlignment="1" applyFont="1" applyNumberFormat="1">
      <alignment horizontal="right" vertical="bottom"/>
    </xf>
    <xf borderId="0" fillId="0" fontId="7" numFmtId="170" xfId="0" applyAlignment="1" applyFont="1" applyNumberFormat="1">
      <alignment vertical="bottom"/>
    </xf>
  </cellXfs>
  <cellStyles count="1">
    <cellStyle xfId="0" name="Normal" builtinId="0"/>
  </cellStyles>
  <dxfs count="10"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ont>
        <color rgb="FFFF0000"/>
      </font>
      <fill>
        <patternFill patternType="none"/>
      </fill>
      <border/>
    </dxf>
    <dxf>
      <font/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>
        <color rgb="FF7F7F7F"/>
      </font>
      <fill>
        <patternFill patternType="solid">
          <fgColor rgb="FFE7E6E6"/>
          <bgColor rgb="FFE7E6E6"/>
        </patternFill>
      </fill>
      <border/>
    </dxf>
  </dxfs>
  <tableStyles count="1">
    <tableStyle count="4" pivot="0" name="Responsabilidade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3:K50" displayName="Tabla_1" name="Tabla_1" id="1">
  <autoFilter ref="$A$3:$K$50">
    <filterColumn colId="0">
      <filters>
        <filter val="➖ No corresponde"/>
        <filter val="➡️ Pasa a próximo mes"/>
        <filter val="⏳ Pendiente"/>
      </filters>
    </filterColumn>
  </autoFilter>
  <tableColumns count="11">
    <tableColumn name="Estado" id="1"/>
    <tableColumn name="Fecha" id="2"/>
    <tableColumn name="Categoría" id="3"/>
    <tableColumn name="Descripción" id="4"/>
    <tableColumn name="Moneda" id="5"/>
    <tableColumn name="Monto" id="6"/>
    <tableColumn name="Prioridad" id="7"/>
    <tableColumn name="Tipo" id="8"/>
    <tableColumn name="Cuenta / medio" id="9"/>
    <tableColumn name="Mes" id="10"/>
    <tableColumn name="Monto pendiente" id="11"/>
  </tableColumns>
  <tableStyleInfo name="Responsabilidad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1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6.38"/>
    <col customWidth="1" min="2" max="2" width="23.13"/>
    <col customWidth="1" min="3" max="26" width="8.63"/>
  </cols>
  <sheetData>
    <row r="1">
      <c r="A1" s="1" t="s">
        <v>0</v>
      </c>
    </row>
    <row r="2">
      <c r="A2" s="5" t="s">
        <v>7</v>
      </c>
      <c r="B2" s="5" t="s">
        <v>14</v>
      </c>
    </row>
    <row r="3">
      <c r="A3" s="6" t="s">
        <v>17</v>
      </c>
      <c r="B3" s="7">
        <v>39.45</v>
      </c>
    </row>
    <row r="4">
      <c r="A4" s="6" t="s">
        <v>23</v>
      </c>
      <c r="B4" s="6" t="s">
        <v>25</v>
      </c>
    </row>
    <row r="5">
      <c r="A5" s="6" t="s">
        <v>26</v>
      </c>
      <c r="B5" s="6">
        <v>2026.0</v>
      </c>
    </row>
    <row r="6">
      <c r="A6" s="6" t="s">
        <v>27</v>
      </c>
      <c r="B6" s="6" t="s">
        <v>28</v>
      </c>
    </row>
    <row r="7">
      <c r="A7" s="6" t="s">
        <v>29</v>
      </c>
      <c r="B7" s="9">
        <v>54.7</v>
      </c>
    </row>
    <row r="8">
      <c r="A8" s="6" t="s">
        <v>30</v>
      </c>
      <c r="B8" s="10">
        <v>843.0</v>
      </c>
    </row>
    <row r="9">
      <c r="A9" s="6" t="s">
        <v>31</v>
      </c>
      <c r="B9" s="11">
        <v>0.22</v>
      </c>
    </row>
    <row r="10">
      <c r="A10" s="6" t="s">
        <v>32</v>
      </c>
      <c r="B10" s="13">
        <f>B8*(1+B9)</f>
        <v>1028.46</v>
      </c>
    </row>
    <row r="14">
      <c r="E14" s="6">
        <f>56247/B10</f>
        <v>54.69050814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B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1.75"/>
    <col customWidth="1" min="2" max="2" width="10.5"/>
    <col customWidth="1" min="3" max="3" width="8.63"/>
    <col customWidth="1" min="4" max="4" width="34.0"/>
    <col customWidth="1" min="5" max="5" width="9.75"/>
    <col customWidth="1" min="6" max="6" width="8.63"/>
    <col customWidth="1" min="7" max="7" width="29.0"/>
    <col customWidth="1" min="8" max="8" width="11.0"/>
    <col customWidth="1" min="9" max="26" width="8.63"/>
  </cols>
  <sheetData>
    <row r="1">
      <c r="A1" s="1" t="s">
        <v>1</v>
      </c>
      <c r="I1" s="1"/>
      <c r="J1" s="1"/>
      <c r="K1" s="1"/>
    </row>
    <row r="3">
      <c r="A3" s="3" t="s">
        <v>3</v>
      </c>
      <c r="B3" s="3" t="s">
        <v>5</v>
      </c>
      <c r="D3" s="3" t="s">
        <v>6</v>
      </c>
      <c r="E3" s="3" t="s">
        <v>5</v>
      </c>
      <c r="G3" s="3" t="s">
        <v>8</v>
      </c>
      <c r="H3" s="3" t="s">
        <v>5</v>
      </c>
    </row>
    <row r="4">
      <c r="A4" s="6" t="s">
        <v>10</v>
      </c>
      <c r="B4" s="12">
        <f>SUMIFS(Caja!$H$4:$H$19,Caja!$A$4:$A$19,"Cobrado")+SUMIFS('Facturación'!$F$4:$F$12,'Facturación'!$A$4:$A$12,"Cobrado")</f>
        <v>220876.4759</v>
      </c>
      <c r="D4" s="6" t="s">
        <v>33</v>
      </c>
      <c r="E4" s="8">
        <v>15033.0</v>
      </c>
      <c r="G4" s="6" t="s">
        <v>34</v>
      </c>
      <c r="H4" s="14">
        <f>'Deudas USD'!D4</f>
        <v>1794.25</v>
      </c>
    </row>
    <row r="5">
      <c r="A5" s="6" t="s">
        <v>35</v>
      </c>
      <c r="B5" s="12">
        <f>SUMIFS(Caja!$H$4:$H$19,Caja!$A$4:$A$19,"Pendiente")+SUMIFS(Caja!$H$4:$H$19,Caja!$A$4:$A$19,"Programado")+SUMIFS('Facturación'!$F$4:$F$12,'Facturación'!$A$4:$A$12,"Pendiente")+SUMIFS('Facturación'!$F$4:$F$12,'Facturación'!$A$4:$A$12,"Programado")+SUMIFS('Facturación'!$F$4:$F$12,'Facturación'!$A$4:$A$12,"Confirmado / pendiente de pago")</f>
        <v>30043.62295</v>
      </c>
      <c r="D5" s="6" t="s">
        <v>43</v>
      </c>
      <c r="E5" s="8">
        <v>11522.23</v>
      </c>
      <c r="G5" s="6" t="s">
        <v>44</v>
      </c>
      <c r="H5" s="14">
        <f>'Deudas USD'!D5</f>
        <v>501.25</v>
      </c>
    </row>
    <row r="6">
      <c r="A6" s="6" t="s">
        <v>49</v>
      </c>
      <c r="B6" s="12">
        <f>B4+B5</f>
        <v>250920.0989</v>
      </c>
      <c r="D6" s="6" t="s">
        <v>56</v>
      </c>
      <c r="E6" s="16">
        <f>E4+E5</f>
        <v>26555.23</v>
      </c>
      <c r="G6" s="6" t="s">
        <v>60</v>
      </c>
      <c r="H6" s="14">
        <f>'Deudas USD'!D6</f>
        <v>0</v>
      </c>
    </row>
    <row r="7">
      <c r="A7" s="6" t="s">
        <v>63</v>
      </c>
      <c r="B7" s="12">
        <f>SUM(Responsabilidades!K4:K50)</f>
        <v>217462.0785</v>
      </c>
      <c r="D7" s="6" t="s">
        <v>65</v>
      </c>
      <c r="E7" s="16">
        <f>SUM('Facturación'!G4:G11)</f>
        <v>13893.13741</v>
      </c>
      <c r="G7" s="6" t="s">
        <v>70</v>
      </c>
      <c r="H7" s="14">
        <f>'Deudas USD'!D8</f>
        <v>2295.5</v>
      </c>
    </row>
    <row r="8">
      <c r="A8" s="6" t="s">
        <v>72</v>
      </c>
      <c r="B8" s="21">
        <f>SUM(Responsabilidades!F4:F50)+(('Deudas USD'!C8-'Deudas USD'!C4)*'Configuración'!B3)</f>
        <v>249838.17</v>
      </c>
      <c r="D8" s="6" t="s">
        <v>84</v>
      </c>
      <c r="E8" s="16">
        <f>SUMIFS('Facturación'!$G$4:$G$12,'Facturación'!$I$4:$I$12,"Sí")</f>
        <v>0</v>
      </c>
    </row>
    <row r="9">
      <c r="A9" s="9" t="s">
        <v>85</v>
      </c>
      <c r="B9" s="23">
        <f>B6-B8</f>
        <v>1081.928852</v>
      </c>
      <c r="D9" s="6" t="s">
        <v>86</v>
      </c>
      <c r="E9" s="16">
        <f>E7-E8</f>
        <v>13893.13741</v>
      </c>
    </row>
    <row r="10">
      <c r="A10" s="6" t="s">
        <v>87</v>
      </c>
      <c r="B10" s="24">
        <f>C10</f>
        <v>203326</v>
      </c>
      <c r="C10" s="6">
        <f>153026+45928+4372</f>
        <v>203326</v>
      </c>
      <c r="E10" s="12"/>
    </row>
    <row r="11">
      <c r="B11" s="12"/>
      <c r="D11" s="25" t="s">
        <v>89</v>
      </c>
    </row>
    <row r="12" ht="35.25" customHeight="1">
      <c r="A12" s="5" t="s">
        <v>90</v>
      </c>
      <c r="B12" s="26" t="s">
        <v>91</v>
      </c>
    </row>
    <row r="13">
      <c r="A13" s="6" t="s">
        <v>92</v>
      </c>
      <c r="B13" s="12">
        <f>Caja!H4</f>
        <v>165690</v>
      </c>
      <c r="E13" s="12"/>
      <c r="G13" s="6" t="s">
        <v>94</v>
      </c>
      <c r="H13" s="12">
        <f>SUM(Responsabilidades!F35:F47)</f>
        <v>85604.89</v>
      </c>
    </row>
    <row r="14">
      <c r="A14" s="6" t="s">
        <v>100</v>
      </c>
      <c r="B14" s="12">
        <f>Caja!H5</f>
        <v>24601</v>
      </c>
      <c r="D14" s="28" t="s">
        <v>105</v>
      </c>
      <c r="E14" s="29" t="s">
        <v>107</v>
      </c>
      <c r="G14" s="6" t="s">
        <v>108</v>
      </c>
      <c r="H14" s="12">
        <f>SUM(Responsabilidades!F39:F45)</f>
        <v>71794.89</v>
      </c>
    </row>
    <row r="15">
      <c r="A15" s="6" t="s">
        <v>113</v>
      </c>
      <c r="B15" s="12">
        <f>'Configuración'!B7*'Configuración'!B8</f>
        <v>46112.1</v>
      </c>
      <c r="D15" s="6" t="s">
        <v>114</v>
      </c>
      <c r="E15" s="12">
        <v>4200.0</v>
      </c>
      <c r="G15" s="6" t="s">
        <v>115</v>
      </c>
      <c r="H15" s="12">
        <v>0.0</v>
      </c>
    </row>
    <row r="16">
      <c r="A16" s="9" t="s">
        <v>117</v>
      </c>
      <c r="B16" s="23">
        <f>B15*0.22</f>
        <v>10144.662</v>
      </c>
      <c r="D16" s="6" t="s">
        <v>121</v>
      </c>
      <c r="E16" s="12">
        <f>'Deudas USD'!C8</f>
        <v>288.47</v>
      </c>
      <c r="G16" s="6" t="s">
        <v>125</v>
      </c>
      <c r="H16" s="12">
        <f>B7</f>
        <v>217462.0785</v>
      </c>
    </row>
    <row r="17">
      <c r="A17" s="6" t="s">
        <v>127</v>
      </c>
      <c r="B17" s="12">
        <f>B15</f>
        <v>46112.1</v>
      </c>
      <c r="D17" s="6" t="s">
        <v>130</v>
      </c>
      <c r="E17" s="12">
        <v>0.0</v>
      </c>
      <c r="G17" s="32" t="s">
        <v>27</v>
      </c>
      <c r="H17" s="32" t="s">
        <v>134</v>
      </c>
    </row>
    <row r="18">
      <c r="A18" s="9" t="s">
        <v>135</v>
      </c>
      <c r="B18" s="23">
        <f>SUMIFS('Facturación'!$E$4:$E$12,'Facturación'!$A$4:$A$12,"Cobrado")</f>
        <v>66730.762</v>
      </c>
      <c r="D18" s="6" t="s">
        <v>136</v>
      </c>
      <c r="E18" s="12">
        <v>4200.0</v>
      </c>
    </row>
    <row r="19">
      <c r="A19" s="6" t="s">
        <v>137</v>
      </c>
      <c r="B19" s="12">
        <f>SUMIFS('Facturación'!$E$4:$E$12,'Facturación'!$A$4:$A$12,"Confirmado / pendiente de pago")+SUMIFS('Facturación'!$E$4:$E$12,'Facturación'!$A$4:$A$12,"Pendiente")+SUMIFS('Facturación'!$E$4:$E$12,'Facturación'!$A$4:$A$12,"Programado")</f>
        <v>6640</v>
      </c>
      <c r="D19" s="6" t="s">
        <v>139</v>
      </c>
      <c r="E19" s="36">
        <v>39.0</v>
      </c>
      <c r="G19" s="37" t="s">
        <v>140</v>
      </c>
      <c r="H19" s="37" t="s">
        <v>91</v>
      </c>
    </row>
    <row r="20">
      <c r="A20" s="6" t="s">
        <v>141</v>
      </c>
      <c r="B20" s="12">
        <f>SUMIFS('Facturación'!$E$4:$E$12,'Facturación'!$A$4:$A$12,"A confirmar")</f>
        <v>1660</v>
      </c>
      <c r="D20" s="6" t="s">
        <v>142</v>
      </c>
      <c r="E20" s="12">
        <f>2583.97-E16</f>
        <v>2295.5</v>
      </c>
      <c r="G20" s="37" t="s">
        <v>87</v>
      </c>
      <c r="H20" s="38">
        <f>B10</f>
        <v>203326</v>
      </c>
    </row>
    <row r="21" ht="15.75" customHeight="1">
      <c r="A21" s="6" t="s">
        <v>143</v>
      </c>
      <c r="B21" s="12">
        <f>B4+B5</f>
        <v>250920.0989</v>
      </c>
      <c r="G21" s="37" t="s">
        <v>144</v>
      </c>
      <c r="H21" s="38">
        <f>E7</f>
        <v>13893.13741</v>
      </c>
    </row>
    <row r="22" ht="15.75" customHeight="1">
      <c r="A22" s="6" t="s">
        <v>145</v>
      </c>
      <c r="B22" s="12">
        <f>B21-B7</f>
        <v>33458.02035</v>
      </c>
      <c r="G22" s="37" t="s">
        <v>147</v>
      </c>
      <c r="H22" s="37">
        <f>Caja!F7*'Configuración'!B3</f>
        <v>9862.5</v>
      </c>
    </row>
    <row r="23" ht="15.75" customHeight="1">
      <c r="A23" s="39" t="s">
        <v>148</v>
      </c>
      <c r="B23" s="40">
        <f>B21+B20</f>
        <v>252580.0989</v>
      </c>
      <c r="G23" s="37" t="s">
        <v>149</v>
      </c>
      <c r="H23" s="38">
        <f>MAX(H21-H22,0)</f>
        <v>4030.63741</v>
      </c>
    </row>
    <row r="24" ht="15.75" customHeight="1">
      <c r="A24" s="9" t="s">
        <v>150</v>
      </c>
      <c r="B24" s="23">
        <f>B23-B7</f>
        <v>35118.02035</v>
      </c>
      <c r="G24" s="37" t="s">
        <v>151</v>
      </c>
      <c r="H24" s="38">
        <f>H20-H23</f>
        <v>199295.3626</v>
      </c>
    </row>
    <row r="25" ht="15.75" customHeight="1">
      <c r="A25" s="6" t="s">
        <v>152</v>
      </c>
      <c r="B25" s="12">
        <v>0.0</v>
      </c>
      <c r="G25" s="37" t="s">
        <v>153</v>
      </c>
      <c r="H25" s="37" t="s">
        <v>154</v>
      </c>
    </row>
    <row r="26" ht="15.75" customHeight="1">
      <c r="A26" s="39" t="s">
        <v>155</v>
      </c>
      <c r="B26" s="40">
        <f>E20</f>
        <v>2295.5</v>
      </c>
      <c r="G26" s="37" t="s">
        <v>157</v>
      </c>
      <c r="H26" s="37" t="s">
        <v>159</v>
      </c>
    </row>
    <row r="27" ht="15.75" customHeight="1">
      <c r="A27" s="39"/>
      <c r="B27" s="40"/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H1"/>
    <mergeCell ref="D11:H12"/>
  </mergeCells>
  <conditionalFormatting sqref="B4:B27">
    <cfRule type="cellIs" dxfId="5" priority="1" operator="lessThan">
      <formula>0</formula>
    </cfRule>
  </conditionalFormatting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13.13"/>
    <col customWidth="1" min="3" max="3" width="22.0"/>
    <col customWidth="1" min="4" max="4" width="37.63"/>
    <col customWidth="1" min="5" max="5" width="8.63"/>
    <col customWidth="1" min="6" max="6" width="14.0"/>
    <col customWidth="1" min="7" max="7" width="11.75"/>
    <col customWidth="1" min="8" max="8" width="14.75"/>
    <col customWidth="1" min="9" max="9" width="37.63"/>
    <col customWidth="1" min="10" max="10" width="11.25"/>
    <col customWidth="1" min="11" max="11" width="11.63"/>
    <col customWidth="1" min="12" max="26" width="8.63"/>
  </cols>
  <sheetData>
    <row r="1">
      <c r="A1" s="2" t="s">
        <v>40</v>
      </c>
    </row>
    <row r="3" ht="22.5" customHeight="1">
      <c r="A3" s="15" t="s">
        <v>4</v>
      </c>
      <c r="B3" s="15" t="s">
        <v>45</v>
      </c>
      <c r="C3" s="15" t="s">
        <v>48</v>
      </c>
      <c r="D3" s="15" t="s">
        <v>50</v>
      </c>
      <c r="E3" s="15" t="s">
        <v>51</v>
      </c>
      <c r="F3" s="15" t="s">
        <v>5</v>
      </c>
      <c r="G3" s="15" t="s">
        <v>52</v>
      </c>
      <c r="H3" s="15" t="s">
        <v>57</v>
      </c>
      <c r="I3" s="15" t="s">
        <v>58</v>
      </c>
      <c r="J3" s="15" t="s">
        <v>23</v>
      </c>
      <c r="K3" s="15" t="s">
        <v>61</v>
      </c>
    </row>
    <row r="4" ht="22.5" hidden="1" customHeight="1">
      <c r="A4" s="17" t="s">
        <v>62</v>
      </c>
      <c r="B4" s="18">
        <v>46266.0</v>
      </c>
      <c r="C4" s="19" t="s">
        <v>67</v>
      </c>
      <c r="D4" s="19" t="s">
        <v>69</v>
      </c>
      <c r="E4" s="19" t="s">
        <v>71</v>
      </c>
      <c r="F4" s="20">
        <v>8787.62</v>
      </c>
      <c r="G4" s="17" t="s">
        <v>75</v>
      </c>
      <c r="H4" s="17" t="s">
        <v>76</v>
      </c>
      <c r="I4" s="19" t="s">
        <v>77</v>
      </c>
      <c r="J4" s="19" t="s">
        <v>25</v>
      </c>
      <c r="K4" s="22">
        <f t="shared" ref="K4:K6" si="1">IF(OR(A4="⏳ Pendiente",A4="🗓️ Programado"),F4,0)</f>
        <v>0</v>
      </c>
    </row>
    <row r="5" ht="22.5" hidden="1" customHeight="1">
      <c r="A5" s="17" t="s">
        <v>62</v>
      </c>
      <c r="B5" s="18">
        <v>46268.0</v>
      </c>
      <c r="C5" s="19" t="s">
        <v>67</v>
      </c>
      <c r="D5" s="19" t="s">
        <v>88</v>
      </c>
      <c r="E5" s="19" t="s">
        <v>71</v>
      </c>
      <c r="F5" s="20">
        <v>743.23</v>
      </c>
      <c r="G5" s="17" t="s">
        <v>75</v>
      </c>
      <c r="H5" s="17" t="s">
        <v>76</v>
      </c>
      <c r="I5" s="19" t="s">
        <v>77</v>
      </c>
      <c r="J5" s="19" t="s">
        <v>25</v>
      </c>
      <c r="K5" s="22">
        <f t="shared" si="1"/>
        <v>0</v>
      </c>
    </row>
    <row r="6" ht="22.5" hidden="1" customHeight="1">
      <c r="A6" s="27" t="s">
        <v>62</v>
      </c>
      <c r="B6" s="18">
        <v>46272.0</v>
      </c>
      <c r="C6" s="19" t="s">
        <v>102</v>
      </c>
      <c r="D6" s="19" t="s">
        <v>106</v>
      </c>
      <c r="E6" s="19" t="s">
        <v>71</v>
      </c>
      <c r="F6" s="20">
        <v>9600.0</v>
      </c>
      <c r="G6" s="17" t="s">
        <v>75</v>
      </c>
      <c r="H6" s="17" t="s">
        <v>76</v>
      </c>
      <c r="I6" s="19" t="s">
        <v>77</v>
      </c>
      <c r="J6" s="19" t="s">
        <v>25</v>
      </c>
      <c r="K6" s="22">
        <f t="shared" si="1"/>
        <v>0</v>
      </c>
    </row>
    <row r="7" ht="22.5" customHeight="1">
      <c r="A7" s="17" t="s">
        <v>120</v>
      </c>
      <c r="B7" s="30"/>
      <c r="C7" s="19" t="s">
        <v>124</v>
      </c>
      <c r="D7" s="19" t="s">
        <v>126</v>
      </c>
      <c r="E7" s="19" t="s">
        <v>71</v>
      </c>
      <c r="F7" s="20">
        <v>1000.0</v>
      </c>
      <c r="G7" s="31" t="s">
        <v>128</v>
      </c>
      <c r="H7" s="31" t="s">
        <v>132</v>
      </c>
      <c r="I7" s="22" t="s">
        <v>133</v>
      </c>
      <c r="J7" s="22" t="s">
        <v>25</v>
      </c>
      <c r="K7" s="34">
        <v>2570.0</v>
      </c>
    </row>
    <row r="8" ht="22.5" hidden="1" customHeight="1">
      <c r="A8" s="27" t="s">
        <v>62</v>
      </c>
      <c r="B8" s="18">
        <v>46276.0</v>
      </c>
      <c r="C8" s="19" t="s">
        <v>67</v>
      </c>
      <c r="D8" s="19" t="s">
        <v>138</v>
      </c>
      <c r="E8" s="19" t="s">
        <v>71</v>
      </c>
      <c r="F8" s="35">
        <v>587.61</v>
      </c>
      <c r="G8" s="17" t="s">
        <v>75</v>
      </c>
      <c r="H8" s="17" t="s">
        <v>76</v>
      </c>
      <c r="I8" s="19" t="s">
        <v>77</v>
      </c>
      <c r="J8" s="19" t="s">
        <v>25</v>
      </c>
      <c r="K8" s="22">
        <f t="shared" ref="K8:K10" si="2">IF(OR(A8="⏳ Pendiente",A8="🗓️ Programado"),F8,0)</f>
        <v>0</v>
      </c>
    </row>
    <row r="9" ht="22.5" hidden="1" customHeight="1">
      <c r="A9" s="17" t="s">
        <v>62</v>
      </c>
      <c r="B9" s="18">
        <v>46279.0</v>
      </c>
      <c r="C9" s="19" t="s">
        <v>102</v>
      </c>
      <c r="D9" s="19" t="s">
        <v>146</v>
      </c>
      <c r="E9" s="19" t="s">
        <v>71</v>
      </c>
      <c r="F9" s="20">
        <v>5940.91</v>
      </c>
      <c r="G9" s="17" t="s">
        <v>75</v>
      </c>
      <c r="H9" s="17" t="s">
        <v>76</v>
      </c>
      <c r="I9" s="19" t="s">
        <v>60</v>
      </c>
      <c r="J9" s="19" t="s">
        <v>25</v>
      </c>
      <c r="K9" s="22">
        <f t="shared" si="2"/>
        <v>0</v>
      </c>
    </row>
    <row r="10" ht="22.5" hidden="1" customHeight="1">
      <c r="A10" s="27" t="s">
        <v>62</v>
      </c>
      <c r="B10" s="18">
        <v>46286.0</v>
      </c>
      <c r="C10" s="19" t="s">
        <v>156</v>
      </c>
      <c r="D10" s="19" t="s">
        <v>158</v>
      </c>
      <c r="E10" s="19" t="s">
        <v>71</v>
      </c>
      <c r="F10" s="20">
        <v>6098.0</v>
      </c>
      <c r="G10" s="17" t="s">
        <v>75</v>
      </c>
      <c r="H10" s="17" t="s">
        <v>76</v>
      </c>
      <c r="I10" s="19" t="s">
        <v>77</v>
      </c>
      <c r="J10" s="19" t="s">
        <v>25</v>
      </c>
      <c r="K10" s="22">
        <f t="shared" si="2"/>
        <v>0</v>
      </c>
    </row>
    <row r="11" ht="22.5" hidden="1" customHeight="1">
      <c r="A11" s="17" t="s">
        <v>62</v>
      </c>
      <c r="B11" s="18"/>
      <c r="C11" s="19" t="s">
        <v>160</v>
      </c>
      <c r="D11" s="19" t="s">
        <v>161</v>
      </c>
      <c r="E11" s="19"/>
      <c r="F11" s="20">
        <v>1354.78</v>
      </c>
      <c r="G11" s="17"/>
      <c r="H11" s="17"/>
      <c r="I11" s="41"/>
      <c r="J11" s="41"/>
      <c r="K11" s="22"/>
    </row>
    <row r="12" ht="22.5" hidden="1" customHeight="1">
      <c r="A12" s="17" t="s">
        <v>62</v>
      </c>
      <c r="B12" s="18"/>
      <c r="C12" s="19" t="s">
        <v>160</v>
      </c>
      <c r="D12" s="19" t="s">
        <v>162</v>
      </c>
      <c r="E12" s="19"/>
      <c r="F12" s="20">
        <v>392.67</v>
      </c>
      <c r="G12" s="17"/>
      <c r="H12" s="17"/>
      <c r="I12" s="41"/>
      <c r="J12" s="41"/>
      <c r="K12" s="22"/>
    </row>
    <row r="13" ht="22.5" customHeight="1">
      <c r="A13" s="17" t="s">
        <v>120</v>
      </c>
      <c r="B13" s="30"/>
      <c r="C13" s="19" t="s">
        <v>67</v>
      </c>
      <c r="D13" s="19" t="s">
        <v>164</v>
      </c>
      <c r="E13" s="19" t="s">
        <v>71</v>
      </c>
      <c r="F13" s="20">
        <v>1819.0</v>
      </c>
      <c r="G13" s="31" t="s">
        <v>75</v>
      </c>
      <c r="H13" s="31" t="s">
        <v>76</v>
      </c>
      <c r="I13" s="22"/>
      <c r="J13" s="22" t="s">
        <v>25</v>
      </c>
      <c r="K13" s="34">
        <v>1819.0</v>
      </c>
    </row>
    <row r="14" ht="22.5" customHeight="1">
      <c r="A14" s="17" t="s">
        <v>120</v>
      </c>
      <c r="B14" s="30"/>
      <c r="C14" s="19" t="s">
        <v>67</v>
      </c>
      <c r="D14" s="19" t="s">
        <v>169</v>
      </c>
      <c r="E14" s="19" t="s">
        <v>71</v>
      </c>
      <c r="F14" s="20">
        <v>1819.0</v>
      </c>
      <c r="G14" s="31" t="s">
        <v>75</v>
      </c>
      <c r="H14" s="31" t="s">
        <v>76</v>
      </c>
      <c r="I14" s="22" t="s">
        <v>172</v>
      </c>
      <c r="J14" s="22" t="s">
        <v>25</v>
      </c>
      <c r="K14" s="34">
        <v>1819.0</v>
      </c>
    </row>
    <row r="15" ht="22.5" customHeight="1">
      <c r="A15" s="17" t="s">
        <v>120</v>
      </c>
      <c r="B15" s="18">
        <v>46275.0</v>
      </c>
      <c r="C15" s="19" t="s">
        <v>102</v>
      </c>
      <c r="D15" s="19" t="s">
        <v>176</v>
      </c>
      <c r="E15" s="19" t="s">
        <v>71</v>
      </c>
      <c r="F15" s="20">
        <f>27806.04-5500-(38.47*'Configuración'!B3)-10690</f>
        <v>10098.3985</v>
      </c>
      <c r="G15" s="17" t="s">
        <v>75</v>
      </c>
      <c r="H15" s="17" t="s">
        <v>76</v>
      </c>
      <c r="I15" s="19" t="s">
        <v>77</v>
      </c>
      <c r="J15" s="19" t="s">
        <v>25</v>
      </c>
      <c r="K15" s="22">
        <f t="shared" ref="K15:K18" si="3">IF(OR(A15="⏳ Pendiente",A15="🗓️ Programado"),F15,0)</f>
        <v>10098.3985</v>
      </c>
    </row>
    <row r="16" ht="22.5" customHeight="1">
      <c r="A16" s="27" t="s">
        <v>120</v>
      </c>
      <c r="B16" s="18"/>
      <c r="C16" s="19" t="s">
        <v>182</v>
      </c>
      <c r="D16" s="19" t="s">
        <v>183</v>
      </c>
      <c r="E16" s="19" t="s">
        <v>71</v>
      </c>
      <c r="F16" s="20">
        <v>4594.0</v>
      </c>
      <c r="G16" s="17" t="s">
        <v>75</v>
      </c>
      <c r="H16" s="17" t="s">
        <v>76</v>
      </c>
      <c r="I16" s="19" t="s">
        <v>60</v>
      </c>
      <c r="J16" s="19" t="s">
        <v>25</v>
      </c>
      <c r="K16" s="22">
        <f t="shared" si="3"/>
        <v>4594</v>
      </c>
    </row>
    <row r="17" ht="22.5" customHeight="1">
      <c r="A17" s="27" t="s">
        <v>120</v>
      </c>
      <c r="B17" s="18"/>
      <c r="C17" s="19" t="s">
        <v>182</v>
      </c>
      <c r="D17" s="19" t="s">
        <v>184</v>
      </c>
      <c r="E17" s="19" t="s">
        <v>71</v>
      </c>
      <c r="F17" s="20">
        <v>6326.0</v>
      </c>
      <c r="G17" s="17" t="s">
        <v>75</v>
      </c>
      <c r="H17" s="17" t="s">
        <v>76</v>
      </c>
      <c r="I17" s="19" t="s">
        <v>60</v>
      </c>
      <c r="J17" s="19" t="s">
        <v>25</v>
      </c>
      <c r="K17" s="22">
        <f t="shared" si="3"/>
        <v>6326</v>
      </c>
    </row>
    <row r="18" ht="22.5" customHeight="1">
      <c r="A18" s="27" t="s">
        <v>120</v>
      </c>
      <c r="B18" s="18">
        <v>46295.0</v>
      </c>
      <c r="C18" s="19" t="s">
        <v>185</v>
      </c>
      <c r="D18" s="19" t="s">
        <v>186</v>
      </c>
      <c r="E18" s="19" t="s">
        <v>71</v>
      </c>
      <c r="F18" s="20">
        <v>7566.0</v>
      </c>
      <c r="G18" s="17" t="s">
        <v>75</v>
      </c>
      <c r="H18" s="17" t="s">
        <v>76</v>
      </c>
      <c r="I18" s="41"/>
      <c r="J18" s="19" t="s">
        <v>25</v>
      </c>
      <c r="K18" s="22">
        <f t="shared" si="3"/>
        <v>7566</v>
      </c>
    </row>
    <row r="19" ht="22.5" customHeight="1">
      <c r="A19" s="27" t="s">
        <v>187</v>
      </c>
      <c r="B19" s="18"/>
      <c r="C19" s="19" t="s">
        <v>188</v>
      </c>
      <c r="D19" s="19" t="s">
        <v>189</v>
      </c>
      <c r="E19" s="19" t="s">
        <v>71</v>
      </c>
      <c r="F19" s="20">
        <v>0.0</v>
      </c>
      <c r="G19" s="17" t="s">
        <v>128</v>
      </c>
      <c r="H19" s="17" t="s">
        <v>190</v>
      </c>
      <c r="I19" s="19" t="s">
        <v>191</v>
      </c>
      <c r="J19" s="19" t="s">
        <v>25</v>
      </c>
      <c r="K19" s="22">
        <v>0.0</v>
      </c>
    </row>
    <row r="20" ht="22.5" customHeight="1">
      <c r="A20" s="17" t="s">
        <v>120</v>
      </c>
      <c r="B20" s="30"/>
      <c r="C20" s="19" t="s">
        <v>192</v>
      </c>
      <c r="D20" s="19" t="s">
        <v>193</v>
      </c>
      <c r="E20" s="19" t="s">
        <v>71</v>
      </c>
      <c r="F20" s="20">
        <v>84.61</v>
      </c>
      <c r="G20" s="31" t="s">
        <v>75</v>
      </c>
      <c r="H20" s="31" t="s">
        <v>76</v>
      </c>
      <c r="I20" s="22" t="s">
        <v>133</v>
      </c>
      <c r="J20" s="22" t="s">
        <v>25</v>
      </c>
      <c r="K20" s="34">
        <v>84.61</v>
      </c>
    </row>
    <row r="21" ht="22.5" customHeight="1">
      <c r="A21" s="17" t="s">
        <v>120</v>
      </c>
      <c r="B21" s="30"/>
      <c r="C21" s="19" t="s">
        <v>192</v>
      </c>
      <c r="D21" s="19" t="s">
        <v>194</v>
      </c>
      <c r="E21" s="19" t="s">
        <v>71</v>
      </c>
      <c r="F21" s="20">
        <v>99.44</v>
      </c>
      <c r="G21" s="31" t="s">
        <v>75</v>
      </c>
      <c r="H21" s="31" t="s">
        <v>76</v>
      </c>
      <c r="I21" s="22" t="s">
        <v>133</v>
      </c>
      <c r="J21" s="22" t="s">
        <v>25</v>
      </c>
      <c r="K21" s="34">
        <v>99.44</v>
      </c>
    </row>
    <row r="22" ht="22.5" customHeight="1">
      <c r="A22" s="17" t="s">
        <v>195</v>
      </c>
      <c r="B22" s="18"/>
      <c r="C22" s="19" t="s">
        <v>196</v>
      </c>
      <c r="D22" s="19" t="s">
        <v>197</v>
      </c>
      <c r="E22" s="19" t="s">
        <v>71</v>
      </c>
      <c r="F22" s="20">
        <v>0.0</v>
      </c>
      <c r="G22" s="17" t="s">
        <v>198</v>
      </c>
      <c r="H22" s="17" t="s">
        <v>199</v>
      </c>
      <c r="I22" s="19" t="s">
        <v>200</v>
      </c>
      <c r="J22" s="19" t="s">
        <v>25</v>
      </c>
      <c r="K22" s="22">
        <f t="shared" ref="K22:K23" si="4">IF(OR(A22="⏳ Pendiente",A22="🗓️ Programado"),F22,0)</f>
        <v>0</v>
      </c>
    </row>
    <row r="23" ht="22.5" customHeight="1">
      <c r="A23" s="17" t="s">
        <v>195</v>
      </c>
      <c r="B23" s="18"/>
      <c r="C23" s="19" t="s">
        <v>196</v>
      </c>
      <c r="D23" s="19" t="s">
        <v>201</v>
      </c>
      <c r="E23" s="19" t="s">
        <v>71</v>
      </c>
      <c r="F23" s="20">
        <v>0.0</v>
      </c>
      <c r="G23" s="17" t="s">
        <v>198</v>
      </c>
      <c r="H23" s="17" t="s">
        <v>199</v>
      </c>
      <c r="I23" s="19" t="s">
        <v>200</v>
      </c>
      <c r="J23" s="19" t="s">
        <v>25</v>
      </c>
      <c r="K23" s="22">
        <f t="shared" si="4"/>
        <v>0</v>
      </c>
    </row>
    <row r="24" ht="15.75" customHeight="1">
      <c r="A24" s="17" t="s">
        <v>195</v>
      </c>
      <c r="B24" s="18"/>
      <c r="C24" s="19" t="s">
        <v>202</v>
      </c>
      <c r="D24" s="19" t="s">
        <v>203</v>
      </c>
      <c r="E24" s="19" t="s">
        <v>71</v>
      </c>
      <c r="F24" s="20">
        <v>0.0</v>
      </c>
      <c r="G24" s="17" t="s">
        <v>75</v>
      </c>
      <c r="H24" s="17" t="s">
        <v>204</v>
      </c>
      <c r="I24" s="19" t="s">
        <v>205</v>
      </c>
      <c r="J24" s="19" t="s">
        <v>25</v>
      </c>
      <c r="K24" s="22">
        <v>0.0</v>
      </c>
    </row>
    <row r="25" ht="15.75" customHeight="1">
      <c r="A25" s="17" t="s">
        <v>195</v>
      </c>
      <c r="B25" s="18"/>
      <c r="C25" s="19" t="s">
        <v>202</v>
      </c>
      <c r="D25" s="19" t="s">
        <v>206</v>
      </c>
      <c r="E25" s="19" t="s">
        <v>71</v>
      </c>
      <c r="F25" s="20">
        <v>0.0</v>
      </c>
      <c r="G25" s="17" t="s">
        <v>75</v>
      </c>
      <c r="H25" s="17" t="s">
        <v>204</v>
      </c>
      <c r="I25" s="19" t="s">
        <v>207</v>
      </c>
      <c r="J25" s="19" t="s">
        <v>25</v>
      </c>
      <c r="K25" s="22">
        <v>0.0</v>
      </c>
    </row>
    <row r="26" ht="15.75" customHeight="1">
      <c r="A26" s="27" t="s">
        <v>187</v>
      </c>
      <c r="B26" s="18"/>
      <c r="C26" s="19" t="s">
        <v>208</v>
      </c>
      <c r="D26" s="19" t="s">
        <v>209</v>
      </c>
      <c r="E26" s="19" t="s">
        <v>71</v>
      </c>
      <c r="F26" s="20">
        <v>0.0</v>
      </c>
      <c r="G26" s="17" t="s">
        <v>128</v>
      </c>
      <c r="H26" s="17" t="s">
        <v>190</v>
      </c>
      <c r="I26" s="19" t="s">
        <v>210</v>
      </c>
      <c r="J26" s="19" t="s">
        <v>25</v>
      </c>
      <c r="K26" s="22">
        <v>0.0</v>
      </c>
    </row>
    <row r="27" ht="22.5" customHeight="1">
      <c r="A27" s="17" t="s">
        <v>120</v>
      </c>
      <c r="B27" s="30"/>
      <c r="C27" s="19" t="s">
        <v>211</v>
      </c>
      <c r="D27" s="19" t="s">
        <v>212</v>
      </c>
      <c r="E27" s="19" t="s">
        <v>71</v>
      </c>
      <c r="F27" s="20">
        <v>1196.0</v>
      </c>
      <c r="G27" s="31" t="s">
        <v>75</v>
      </c>
      <c r="H27" s="31" t="s">
        <v>76</v>
      </c>
      <c r="I27" s="22" t="s">
        <v>213</v>
      </c>
      <c r="J27" s="22" t="s">
        <v>25</v>
      </c>
      <c r="K27" s="34">
        <v>1196.0</v>
      </c>
    </row>
    <row r="28" ht="22.5" customHeight="1">
      <c r="A28" s="27" t="s">
        <v>120</v>
      </c>
      <c r="B28" s="18"/>
      <c r="C28" s="19" t="s">
        <v>182</v>
      </c>
      <c r="D28" s="19" t="s">
        <v>214</v>
      </c>
      <c r="E28" s="19" t="s">
        <v>71</v>
      </c>
      <c r="F28" s="20">
        <v>5020.0</v>
      </c>
      <c r="G28" s="17" t="s">
        <v>75</v>
      </c>
      <c r="H28" s="17" t="s">
        <v>76</v>
      </c>
      <c r="I28" s="19" t="s">
        <v>60</v>
      </c>
      <c r="J28" s="19" t="s">
        <v>25</v>
      </c>
      <c r="K28" s="22">
        <f t="shared" ref="K28:K29" si="5">IF(OR(A28="⏳ Pendiente",A28="🗓️ Programado"),F28,0)</f>
        <v>5020</v>
      </c>
    </row>
    <row r="29" ht="22.5" customHeight="1">
      <c r="A29" s="27" t="s">
        <v>120</v>
      </c>
      <c r="B29" s="18">
        <v>46295.0</v>
      </c>
      <c r="C29" s="19" t="s">
        <v>202</v>
      </c>
      <c r="D29" s="19" t="s">
        <v>215</v>
      </c>
      <c r="E29" s="19" t="s">
        <v>71</v>
      </c>
      <c r="F29" s="20">
        <v>26555.23</v>
      </c>
      <c r="G29" s="17" t="s">
        <v>75</v>
      </c>
      <c r="H29" s="17" t="s">
        <v>76</v>
      </c>
      <c r="I29" s="19" t="s">
        <v>216</v>
      </c>
      <c r="J29" s="19" t="s">
        <v>25</v>
      </c>
      <c r="K29" s="22">
        <f t="shared" si="5"/>
        <v>26555.23</v>
      </c>
    </row>
    <row r="30" ht="22.5" customHeight="1">
      <c r="A30" s="17" t="s">
        <v>120</v>
      </c>
      <c r="B30" s="30"/>
      <c r="C30" s="19" t="s">
        <v>217</v>
      </c>
      <c r="D30" s="19" t="s">
        <v>218</v>
      </c>
      <c r="E30" s="19" t="s">
        <v>71</v>
      </c>
      <c r="F30" s="20">
        <v>16000.0</v>
      </c>
      <c r="G30" s="31" t="s">
        <v>75</v>
      </c>
      <c r="H30" s="31" t="s">
        <v>76</v>
      </c>
      <c r="I30" s="22"/>
      <c r="J30" s="22" t="s">
        <v>25</v>
      </c>
      <c r="K30" s="34">
        <v>16000.0</v>
      </c>
    </row>
    <row r="31" ht="22.5" customHeight="1">
      <c r="A31" s="27" t="s">
        <v>120</v>
      </c>
      <c r="B31" s="18"/>
      <c r="C31" s="19" t="s">
        <v>219</v>
      </c>
      <c r="D31" s="19" t="s">
        <v>220</v>
      </c>
      <c r="E31" s="19" t="s">
        <v>71</v>
      </c>
      <c r="F31" s="20">
        <v>7240.0</v>
      </c>
      <c r="G31" s="17" t="s">
        <v>128</v>
      </c>
      <c r="H31" s="17" t="s">
        <v>132</v>
      </c>
      <c r="I31" s="19" t="s">
        <v>221</v>
      </c>
      <c r="J31" s="19" t="s">
        <v>25</v>
      </c>
      <c r="K31" s="22">
        <v>7240.0</v>
      </c>
    </row>
    <row r="32" ht="22.5" customHeight="1">
      <c r="A32" s="27" t="s">
        <v>120</v>
      </c>
      <c r="B32" s="18"/>
      <c r="C32" s="19" t="s">
        <v>222</v>
      </c>
      <c r="D32" s="19" t="s">
        <v>223</v>
      </c>
      <c r="E32" s="19" t="s">
        <v>71</v>
      </c>
      <c r="F32" s="20">
        <v>1670.0</v>
      </c>
      <c r="G32" s="17" t="s">
        <v>75</v>
      </c>
      <c r="H32" s="17" t="s">
        <v>76</v>
      </c>
      <c r="I32" s="19" t="s">
        <v>224</v>
      </c>
      <c r="J32" s="19" t="s">
        <v>25</v>
      </c>
      <c r="K32" s="22">
        <f t="shared" ref="K32:K33" si="6">IF(OR(A32="⏳ Pendiente",A32="🗓️ Programado"),F32,0)</f>
        <v>1670</v>
      </c>
    </row>
    <row r="33" ht="22.5" customHeight="1">
      <c r="A33" s="27" t="s">
        <v>120</v>
      </c>
      <c r="B33" s="18"/>
      <c r="C33" s="19" t="s">
        <v>222</v>
      </c>
      <c r="D33" s="19" t="s">
        <v>225</v>
      </c>
      <c r="E33" s="19" t="s">
        <v>71</v>
      </c>
      <c r="F33" s="20">
        <v>1670.0</v>
      </c>
      <c r="G33" s="17" t="s">
        <v>75</v>
      </c>
      <c r="H33" s="17" t="s">
        <v>76</v>
      </c>
      <c r="I33" s="19" t="s">
        <v>224</v>
      </c>
      <c r="J33" s="19" t="s">
        <v>25</v>
      </c>
      <c r="K33" s="22">
        <f t="shared" si="6"/>
        <v>1670</v>
      </c>
    </row>
    <row r="34" ht="22.5" hidden="1" customHeight="1">
      <c r="A34" s="27" t="s">
        <v>62</v>
      </c>
      <c r="B34" s="18">
        <v>46272.0</v>
      </c>
      <c r="C34" s="19" t="s">
        <v>102</v>
      </c>
      <c r="D34" s="19" t="s">
        <v>226</v>
      </c>
      <c r="E34" s="19" t="s">
        <v>71</v>
      </c>
      <c r="F34" s="20">
        <v>35354.0</v>
      </c>
      <c r="G34" s="17" t="s">
        <v>75</v>
      </c>
      <c r="H34" s="17" t="s">
        <v>76</v>
      </c>
      <c r="I34" s="19" t="s">
        <v>227</v>
      </c>
      <c r="J34" s="19" t="s">
        <v>25</v>
      </c>
      <c r="K34" s="22">
        <v>35354.0</v>
      </c>
    </row>
    <row r="35" ht="15.75" customHeight="1">
      <c r="A35" s="27" t="s">
        <v>120</v>
      </c>
      <c r="B35" s="18"/>
      <c r="C35" s="19" t="s">
        <v>222</v>
      </c>
      <c r="D35" s="19" t="s">
        <v>228</v>
      </c>
      <c r="E35" s="19" t="s">
        <v>71</v>
      </c>
      <c r="F35" s="20">
        <v>1670.0</v>
      </c>
      <c r="G35" s="17" t="s">
        <v>75</v>
      </c>
      <c r="H35" s="17" t="s">
        <v>76</v>
      </c>
      <c r="I35" s="19" t="s">
        <v>224</v>
      </c>
      <c r="J35" s="19" t="s">
        <v>25</v>
      </c>
      <c r="K35" s="22">
        <f t="shared" ref="K35:K36" si="7">IF(OR(A35="⏳ Pendiente",A35="🗓️ Programado"),F35,0)</f>
        <v>1670</v>
      </c>
    </row>
    <row r="36" ht="15.75" customHeight="1">
      <c r="A36" s="27" t="s">
        <v>120</v>
      </c>
      <c r="B36" s="18"/>
      <c r="C36" s="19" t="s">
        <v>222</v>
      </c>
      <c r="D36" s="19" t="s">
        <v>229</v>
      </c>
      <c r="E36" s="19" t="s">
        <v>71</v>
      </c>
      <c r="F36" s="20">
        <v>1670.0</v>
      </c>
      <c r="G36" s="17" t="s">
        <v>75</v>
      </c>
      <c r="H36" s="17" t="s">
        <v>76</v>
      </c>
      <c r="I36" s="19" t="s">
        <v>224</v>
      </c>
      <c r="J36" s="19" t="s">
        <v>25</v>
      </c>
      <c r="K36" s="22">
        <f t="shared" si="7"/>
        <v>1670</v>
      </c>
    </row>
    <row r="37" ht="15.75" customHeight="1">
      <c r="A37" s="17" t="s">
        <v>120</v>
      </c>
      <c r="B37" s="30"/>
      <c r="C37" s="19" t="s">
        <v>230</v>
      </c>
      <c r="D37" s="19" t="s">
        <v>231</v>
      </c>
      <c r="E37" s="19" t="s">
        <v>71</v>
      </c>
      <c r="F37" s="20">
        <v>850.0</v>
      </c>
      <c r="G37" s="31" t="s">
        <v>75</v>
      </c>
      <c r="H37" s="31" t="s">
        <v>76</v>
      </c>
      <c r="I37" s="22"/>
      <c r="J37" s="22" t="s">
        <v>25</v>
      </c>
      <c r="K37" s="34">
        <v>850.0</v>
      </c>
    </row>
    <row r="38" ht="15.75" customHeight="1">
      <c r="A38" s="17" t="s">
        <v>120</v>
      </c>
      <c r="B38" s="30"/>
      <c r="C38" s="19" t="s">
        <v>219</v>
      </c>
      <c r="D38" s="19" t="s">
        <v>232</v>
      </c>
      <c r="E38" s="19" t="s">
        <v>71</v>
      </c>
      <c r="F38" s="20">
        <v>1200.0</v>
      </c>
      <c r="G38" s="31" t="s">
        <v>128</v>
      </c>
      <c r="H38" s="31" t="s">
        <v>132</v>
      </c>
      <c r="I38" s="22"/>
      <c r="J38" s="22" t="s">
        <v>25</v>
      </c>
      <c r="K38" s="34">
        <v>1200.0</v>
      </c>
    </row>
    <row r="39" ht="15.75" customHeight="1">
      <c r="A39" s="17" t="s">
        <v>120</v>
      </c>
      <c r="B39" s="18"/>
      <c r="C39" s="19" t="s">
        <v>182</v>
      </c>
      <c r="D39" s="19" t="s">
        <v>233</v>
      </c>
      <c r="E39" s="19" t="s">
        <v>71</v>
      </c>
      <c r="F39" s="20">
        <v>1664.0</v>
      </c>
      <c r="G39" s="17" t="s">
        <v>75</v>
      </c>
      <c r="H39" s="17" t="s">
        <v>76</v>
      </c>
      <c r="I39" s="41"/>
      <c r="J39" s="19" t="s">
        <v>25</v>
      </c>
      <c r="K39" s="22">
        <f t="shared" ref="K39:K42" si="8">IF(OR(A39="⏳ Pendiente",A39="🗓️ Programado"),F39,0)</f>
        <v>1664</v>
      </c>
    </row>
    <row r="40" ht="15.75" customHeight="1">
      <c r="A40" s="17" t="s">
        <v>120</v>
      </c>
      <c r="B40" s="18"/>
      <c r="C40" s="19" t="s">
        <v>182</v>
      </c>
      <c r="D40" s="19" t="s">
        <v>234</v>
      </c>
      <c r="E40" s="19" t="s">
        <v>71</v>
      </c>
      <c r="F40" s="20">
        <v>1664.0</v>
      </c>
      <c r="G40" s="17" t="s">
        <v>75</v>
      </c>
      <c r="H40" s="17" t="s">
        <v>76</v>
      </c>
      <c r="I40" s="19" t="s">
        <v>235</v>
      </c>
      <c r="J40" s="19" t="s">
        <v>25</v>
      </c>
      <c r="K40" s="22">
        <f t="shared" si="8"/>
        <v>1664</v>
      </c>
    </row>
    <row r="41" ht="15.75" customHeight="1">
      <c r="A41" s="27" t="s">
        <v>120</v>
      </c>
      <c r="B41" s="18">
        <v>46275.0</v>
      </c>
      <c r="C41" s="19" t="s">
        <v>208</v>
      </c>
      <c r="D41" s="19" t="s">
        <v>236</v>
      </c>
      <c r="E41" s="19" t="s">
        <v>71</v>
      </c>
      <c r="F41" s="20">
        <v>33900.0</v>
      </c>
      <c r="G41" s="17" t="s">
        <v>75</v>
      </c>
      <c r="H41" s="17" t="s">
        <v>76</v>
      </c>
      <c r="I41" s="41"/>
      <c r="J41" s="19" t="s">
        <v>25</v>
      </c>
      <c r="K41" s="22">
        <f t="shared" si="8"/>
        <v>33900</v>
      </c>
    </row>
    <row r="42" ht="15.75" customHeight="1">
      <c r="A42" s="27" t="s">
        <v>120</v>
      </c>
      <c r="B42" s="18">
        <v>46275.0</v>
      </c>
      <c r="C42" s="19" t="s">
        <v>237</v>
      </c>
      <c r="D42" s="19" t="s">
        <v>238</v>
      </c>
      <c r="E42" s="19" t="s">
        <v>71</v>
      </c>
      <c r="F42" s="20">
        <v>18275.0</v>
      </c>
      <c r="G42" s="17" t="s">
        <v>75</v>
      </c>
      <c r="H42" s="17" t="s">
        <v>76</v>
      </c>
      <c r="I42" s="41"/>
      <c r="J42" s="19" t="s">
        <v>25</v>
      </c>
      <c r="K42" s="22">
        <f t="shared" si="8"/>
        <v>18275</v>
      </c>
    </row>
    <row r="43" ht="15.75" customHeight="1">
      <c r="A43" s="17" t="s">
        <v>120</v>
      </c>
      <c r="B43" s="30"/>
      <c r="C43" s="19" t="s">
        <v>192</v>
      </c>
      <c r="D43" s="19" t="s">
        <v>239</v>
      </c>
      <c r="E43" s="19" t="s">
        <v>71</v>
      </c>
      <c r="F43" s="20">
        <v>390.89</v>
      </c>
      <c r="G43" s="31" t="s">
        <v>75</v>
      </c>
      <c r="H43" s="31" t="s">
        <v>76</v>
      </c>
      <c r="I43" s="22" t="s">
        <v>133</v>
      </c>
      <c r="J43" s="22" t="s">
        <v>25</v>
      </c>
      <c r="K43" s="34">
        <v>390.89</v>
      </c>
    </row>
    <row r="44" ht="15.75" hidden="1" customHeight="1">
      <c r="A44" s="27" t="s">
        <v>62</v>
      </c>
      <c r="B44" s="30"/>
      <c r="C44" s="19" t="s">
        <v>196</v>
      </c>
      <c r="D44" s="19" t="s">
        <v>240</v>
      </c>
      <c r="E44" s="19" t="s">
        <v>71</v>
      </c>
      <c r="F44" s="35">
        <v>201.0</v>
      </c>
      <c r="G44" s="31" t="s">
        <v>75</v>
      </c>
      <c r="H44" s="31" t="s">
        <v>76</v>
      </c>
      <c r="I44" s="22" t="s">
        <v>133</v>
      </c>
      <c r="J44" s="22" t="s">
        <v>25</v>
      </c>
      <c r="K44" s="34">
        <v>1110.0</v>
      </c>
    </row>
    <row r="45" ht="15.75" customHeight="1">
      <c r="A45" s="17" t="s">
        <v>120</v>
      </c>
      <c r="B45" s="18"/>
      <c r="C45" s="19" t="s">
        <v>241</v>
      </c>
      <c r="D45" s="19" t="s">
        <v>242</v>
      </c>
      <c r="E45" s="19" t="s">
        <v>71</v>
      </c>
      <c r="F45" s="20">
        <v>15700.0</v>
      </c>
      <c r="G45" s="17" t="s">
        <v>75</v>
      </c>
      <c r="H45" s="17" t="s">
        <v>76</v>
      </c>
      <c r="I45" s="19" t="s">
        <v>243</v>
      </c>
      <c r="J45" s="19" t="s">
        <v>25</v>
      </c>
      <c r="K45" s="22">
        <f>IF(OR(A45="⏳ Pendiente",A45="🗓️ Programado"),F45,0)</f>
        <v>15700</v>
      </c>
    </row>
    <row r="46" ht="15.75" customHeight="1">
      <c r="A46" s="17" t="s">
        <v>120</v>
      </c>
      <c r="B46" s="30"/>
      <c r="C46" s="19" t="s">
        <v>244</v>
      </c>
      <c r="D46" s="19" t="s">
        <v>245</v>
      </c>
      <c r="E46" s="19" t="s">
        <v>71</v>
      </c>
      <c r="F46" s="20">
        <v>5000.0</v>
      </c>
      <c r="G46" s="31" t="s">
        <v>128</v>
      </c>
      <c r="H46" s="31" t="s">
        <v>132</v>
      </c>
      <c r="I46" s="22"/>
      <c r="J46" s="22" t="s">
        <v>25</v>
      </c>
      <c r="K46" s="34">
        <v>5000.0</v>
      </c>
    </row>
    <row r="47" ht="15.75" hidden="1" customHeight="1">
      <c r="A47" s="27" t="s">
        <v>62</v>
      </c>
      <c r="B47" s="30"/>
      <c r="C47" s="19" t="s">
        <v>67</v>
      </c>
      <c r="D47" s="19" t="s">
        <v>246</v>
      </c>
      <c r="E47" s="19" t="s">
        <v>71</v>
      </c>
      <c r="F47" s="35">
        <v>3420.0</v>
      </c>
      <c r="G47" s="31" t="s">
        <v>75</v>
      </c>
      <c r="H47" s="31" t="s">
        <v>76</v>
      </c>
      <c r="I47" s="22"/>
      <c r="J47" s="22" t="s">
        <v>25</v>
      </c>
      <c r="K47" s="34">
        <v>3545.6</v>
      </c>
    </row>
    <row r="48" ht="15.75" hidden="1" customHeight="1">
      <c r="A48" s="27" t="s">
        <v>62</v>
      </c>
      <c r="B48" s="30"/>
      <c r="C48" s="19" t="s">
        <v>67</v>
      </c>
      <c r="D48" s="19" t="s">
        <v>247</v>
      </c>
      <c r="E48" s="19" t="s">
        <v>71</v>
      </c>
      <c r="F48" s="35">
        <v>558.23</v>
      </c>
      <c r="G48" s="31" t="s">
        <v>75</v>
      </c>
      <c r="H48" s="31" t="s">
        <v>76</v>
      </c>
      <c r="I48" s="22" t="s">
        <v>248</v>
      </c>
      <c r="J48" s="22" t="s">
        <v>25</v>
      </c>
      <c r="K48" s="34">
        <v>600.0</v>
      </c>
    </row>
    <row r="49" ht="15.75" customHeight="1">
      <c r="A49" s="17" t="s">
        <v>120</v>
      </c>
      <c r="B49" s="30"/>
      <c r="C49" s="19" t="s">
        <v>249</v>
      </c>
      <c r="D49" s="19" t="s">
        <v>250</v>
      </c>
      <c r="E49" s="19" t="s">
        <v>71</v>
      </c>
      <c r="F49" s="20">
        <v>354.6</v>
      </c>
      <c r="G49" s="31" t="s">
        <v>75</v>
      </c>
      <c r="H49" s="31" t="s">
        <v>76</v>
      </c>
      <c r="I49" s="22" t="s">
        <v>251</v>
      </c>
      <c r="J49" s="22" t="s">
        <v>25</v>
      </c>
      <c r="K49" s="34">
        <v>354.6</v>
      </c>
    </row>
    <row r="50" ht="15.75" customHeight="1">
      <c r="A50" s="17" t="s">
        <v>120</v>
      </c>
      <c r="B50" s="30"/>
      <c r="C50" s="19" t="s">
        <v>249</v>
      </c>
      <c r="D50" s="19" t="s">
        <v>250</v>
      </c>
      <c r="E50" s="19" t="s">
        <v>71</v>
      </c>
      <c r="F50" s="20">
        <v>186.31</v>
      </c>
      <c r="G50" s="31" t="s">
        <v>75</v>
      </c>
      <c r="H50" s="31" t="s">
        <v>76</v>
      </c>
      <c r="I50" s="22" t="s">
        <v>251</v>
      </c>
      <c r="J50" s="22" t="s">
        <v>25</v>
      </c>
      <c r="K50" s="34">
        <v>186.31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">
    <mergeCell ref="A1:K1"/>
  </mergeCells>
  <conditionalFormatting sqref="A4:K50">
    <cfRule type="expression" dxfId="6" priority="1">
      <formula>$A4="✅ Pagado"</formula>
    </cfRule>
  </conditionalFormatting>
  <conditionalFormatting sqref="A4:K50">
    <cfRule type="expression" dxfId="7" priority="2">
      <formula>$A4="⏳ Pendiente"</formula>
    </cfRule>
  </conditionalFormatting>
  <conditionalFormatting sqref="A4:K50">
    <cfRule type="expression" dxfId="8" priority="3">
      <formula>$A4="🗓️ Programado"</formula>
    </cfRule>
  </conditionalFormatting>
  <conditionalFormatting sqref="A4:K50">
    <cfRule type="expression" dxfId="9" priority="4">
      <formula>$A4="➖ No corresponde"</formula>
    </cfRule>
  </conditionalFormatting>
  <conditionalFormatting sqref="A48">
    <cfRule type="colorScale" priority="5">
      <colorScale>
        <cfvo type="min"/>
        <cfvo type="max"/>
        <color rgb="FFFFFFFF"/>
        <color rgb="FF57BB8A"/>
      </colorScale>
    </cfRule>
  </conditionalFormatting>
  <dataValidations>
    <dataValidation type="custom" allowBlank="1" showDropDown="1" sqref="B4:B50">
      <formula1>OR(NOT(ISERROR(DATEVALUE(B4))), AND(ISNUMBER(B4), LEFT(CELL("format", B4))="D"))</formula1>
    </dataValidation>
    <dataValidation type="list" allowBlank="1" sqref="A4:A50">
      <formula1>"⏳ Pendiente,🗓️ Programado,✅ Pagado,➡️ Pasa a próximo mes,➖ No corresponde,🔎 Revisar"</formula1>
    </dataValidation>
    <dataValidation type="custom" allowBlank="1" showDropDown="1" sqref="F4:F50 I4:K50">
      <formula1>AND(ISNUMBER(F4),(NOT(OR(NOT(ISERROR(DATEVALUE(F4))), AND(ISNUMBER(F4), LEFT(CELL("format", F4))="D")))))</formula1>
    </dataValidation>
    <dataValidation type="list" allowBlank="1" showDropDown="1" showErrorMessage="1" sqref="G4:G50">
      <formula1>"Alta,Media,Baja"</formula1>
    </dataValidation>
    <dataValidation type="list" allowBlank="1" showDropDown="1" showErrorMessage="1" sqref="H4:H50">
      <formula1>"Obligatorio,Referencia,Postergado,Postergable,No corresponde"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25"/>
    <col customWidth="1" min="2" max="2" width="22.0"/>
    <col customWidth="1" min="3" max="4" width="8.63"/>
    <col customWidth="1" min="5" max="7" width="9.38"/>
    <col customWidth="1" min="8" max="10" width="8.63"/>
    <col customWidth="1" min="11" max="11" width="42.0"/>
    <col customWidth="1" min="12" max="26" width="8.63"/>
  </cols>
  <sheetData>
    <row r="1">
      <c r="A1" s="2" t="s">
        <v>2</v>
      </c>
    </row>
    <row r="3">
      <c r="A3" s="4" t="s">
        <v>4</v>
      </c>
      <c r="B3" s="4" t="s">
        <v>9</v>
      </c>
      <c r="C3" s="4" t="s">
        <v>11</v>
      </c>
      <c r="D3" s="4" t="s">
        <v>12</v>
      </c>
      <c r="E3" s="4" t="s">
        <v>13</v>
      </c>
      <c r="F3" s="4" t="s">
        <v>15</v>
      </c>
      <c r="G3" s="4" t="s">
        <v>16</v>
      </c>
      <c r="H3" s="4" t="s">
        <v>18</v>
      </c>
      <c r="I3" s="4" t="s">
        <v>19</v>
      </c>
      <c r="J3" s="4" t="s">
        <v>20</v>
      </c>
      <c r="K3" s="4" t="s">
        <v>21</v>
      </c>
    </row>
    <row r="4">
      <c r="A4" s="6" t="s">
        <v>22</v>
      </c>
      <c r="B4" s="6" t="s">
        <v>24</v>
      </c>
      <c r="C4" s="6">
        <v>4.0</v>
      </c>
      <c r="D4" s="8">
        <v>830.0</v>
      </c>
      <c r="E4" s="12">
        <f t="shared" ref="E4:E11" si="1">C4*D4</f>
        <v>3320</v>
      </c>
      <c r="F4" s="12">
        <f t="shared" ref="F4:F11" si="2">E4/1.22</f>
        <v>2721.311475</v>
      </c>
      <c r="G4" s="12">
        <f t="shared" ref="G4:G11" si="3">E4-F4</f>
        <v>598.6885246</v>
      </c>
      <c r="H4" s="6" t="s">
        <v>25</v>
      </c>
      <c r="I4" s="6" t="s">
        <v>36</v>
      </c>
      <c r="J4" s="12">
        <f t="shared" ref="J4:J11" si="4">G4</f>
        <v>598.6885246</v>
      </c>
      <c r="K4" s="6" t="s">
        <v>37</v>
      </c>
    </row>
    <row r="5">
      <c r="A5" s="6" t="s">
        <v>38</v>
      </c>
      <c r="B5" s="6" t="s">
        <v>39</v>
      </c>
      <c r="C5" s="6">
        <v>2.0</v>
      </c>
      <c r="D5" s="8">
        <v>830.0</v>
      </c>
      <c r="E5" s="12">
        <f t="shared" si="1"/>
        <v>1660</v>
      </c>
      <c r="F5" s="12">
        <f t="shared" si="2"/>
        <v>1360.655738</v>
      </c>
      <c r="G5" s="12">
        <f t="shared" si="3"/>
        <v>299.3442623</v>
      </c>
      <c r="H5" s="6" t="s">
        <v>25</v>
      </c>
      <c r="I5" s="6" t="s">
        <v>36</v>
      </c>
      <c r="J5" s="12">
        <f t="shared" si="4"/>
        <v>299.3442623</v>
      </c>
      <c r="K5" s="6" t="s">
        <v>41</v>
      </c>
    </row>
    <row r="6">
      <c r="A6" s="6" t="s">
        <v>22</v>
      </c>
      <c r="B6" s="6" t="s">
        <v>42</v>
      </c>
      <c r="C6" s="6">
        <v>4.0</v>
      </c>
      <c r="D6" s="8">
        <v>830.0</v>
      </c>
      <c r="E6" s="12">
        <f t="shared" si="1"/>
        <v>3320</v>
      </c>
      <c r="F6" s="12">
        <f t="shared" si="2"/>
        <v>2721.311475</v>
      </c>
      <c r="G6" s="12">
        <f t="shared" si="3"/>
        <v>598.6885246</v>
      </c>
      <c r="H6" s="6" t="s">
        <v>25</v>
      </c>
      <c r="I6" s="6" t="s">
        <v>36</v>
      </c>
      <c r="J6" s="12">
        <f t="shared" si="4"/>
        <v>598.6885246</v>
      </c>
      <c r="K6" s="6" t="s">
        <v>37</v>
      </c>
    </row>
    <row r="7">
      <c r="A7" s="6" t="s">
        <v>46</v>
      </c>
      <c r="B7" s="6" t="s">
        <v>47</v>
      </c>
      <c r="C7" s="6">
        <v>1.0</v>
      </c>
      <c r="D7" s="8">
        <v>2013.0</v>
      </c>
      <c r="E7" s="12">
        <f t="shared" si="1"/>
        <v>2013</v>
      </c>
      <c r="F7" s="12">
        <f t="shared" si="2"/>
        <v>1650</v>
      </c>
      <c r="G7" s="12">
        <f t="shared" si="3"/>
        <v>363</v>
      </c>
      <c r="H7" s="6" t="s">
        <v>25</v>
      </c>
      <c r="I7" s="6" t="s">
        <v>36</v>
      </c>
      <c r="J7" s="12">
        <f t="shared" si="4"/>
        <v>363</v>
      </c>
      <c r="K7" s="6" t="s">
        <v>53</v>
      </c>
    </row>
    <row r="8">
      <c r="A8" s="6" t="s">
        <v>54</v>
      </c>
      <c r="B8" s="6" t="s">
        <v>55</v>
      </c>
      <c r="C8" s="6">
        <v>4.0</v>
      </c>
      <c r="D8" s="8">
        <v>830.0</v>
      </c>
      <c r="E8" s="12">
        <f t="shared" si="1"/>
        <v>3320</v>
      </c>
      <c r="F8" s="12">
        <f t="shared" si="2"/>
        <v>2721.311475</v>
      </c>
      <c r="G8" s="12">
        <f t="shared" si="3"/>
        <v>598.6885246</v>
      </c>
      <c r="H8" s="6" t="s">
        <v>25</v>
      </c>
      <c r="I8" s="6" t="s">
        <v>36</v>
      </c>
      <c r="J8" s="12">
        <f t="shared" si="4"/>
        <v>598.6885246</v>
      </c>
      <c r="K8" s="6" t="s">
        <v>59</v>
      </c>
    </row>
    <row r="9">
      <c r="A9" s="6" t="s">
        <v>54</v>
      </c>
      <c r="B9" s="6" t="s">
        <v>64</v>
      </c>
      <c r="C9" s="6">
        <v>3.0</v>
      </c>
      <c r="D9" s="8">
        <v>830.0</v>
      </c>
      <c r="E9" s="12">
        <f t="shared" si="1"/>
        <v>2490</v>
      </c>
      <c r="F9" s="12">
        <f t="shared" si="2"/>
        <v>2040.983607</v>
      </c>
      <c r="G9" s="12">
        <f t="shared" si="3"/>
        <v>449.0163934</v>
      </c>
      <c r="H9" s="6" t="s">
        <v>25</v>
      </c>
      <c r="I9" s="6" t="s">
        <v>36</v>
      </c>
      <c r="J9" s="12">
        <f t="shared" si="4"/>
        <v>449.0163934</v>
      </c>
      <c r="K9" s="6" t="s">
        <v>66</v>
      </c>
    </row>
    <row r="10">
      <c r="A10" s="6" t="s">
        <v>54</v>
      </c>
      <c r="B10" s="6" t="s">
        <v>68</v>
      </c>
      <c r="C10" s="6">
        <v>8.0</v>
      </c>
      <c r="D10" s="8">
        <v>583.0</v>
      </c>
      <c r="E10" s="12">
        <f t="shared" si="1"/>
        <v>4664</v>
      </c>
      <c r="F10" s="12">
        <f t="shared" si="2"/>
        <v>3822.95082</v>
      </c>
      <c r="G10" s="12">
        <f t="shared" si="3"/>
        <v>841.0491803</v>
      </c>
      <c r="H10" s="6" t="s">
        <v>25</v>
      </c>
      <c r="I10" s="6" t="s">
        <v>36</v>
      </c>
      <c r="J10" s="12">
        <f t="shared" si="4"/>
        <v>841.0491803</v>
      </c>
      <c r="K10" s="6" t="s">
        <v>73</v>
      </c>
    </row>
    <row r="11">
      <c r="A11" s="6" t="s">
        <v>54</v>
      </c>
      <c r="B11" s="6" t="s">
        <v>74</v>
      </c>
      <c r="C11" s="6">
        <f>'Configuración'!B7</f>
        <v>54.7</v>
      </c>
      <c r="D11" s="12">
        <v>1028.46</v>
      </c>
      <c r="E11" s="12">
        <f t="shared" si="1"/>
        <v>56256.762</v>
      </c>
      <c r="F11" s="12">
        <f t="shared" si="2"/>
        <v>46112.1</v>
      </c>
      <c r="G11" s="12">
        <f t="shared" si="3"/>
        <v>10144.662</v>
      </c>
      <c r="H11" s="6" t="s">
        <v>78</v>
      </c>
      <c r="I11" s="6" t="s">
        <v>36</v>
      </c>
      <c r="J11" s="12">
        <f t="shared" si="4"/>
        <v>10144.662</v>
      </c>
      <c r="K11" s="6"/>
    </row>
    <row r="12">
      <c r="A12" s="6" t="s">
        <v>79</v>
      </c>
      <c r="B12" s="6" t="s">
        <v>80</v>
      </c>
      <c r="C12" s="6">
        <v>32.0</v>
      </c>
      <c r="D12" s="12"/>
      <c r="E12" s="12">
        <v>0.0</v>
      </c>
      <c r="F12" s="12">
        <v>0.0</v>
      </c>
      <c r="G12" s="12">
        <v>0.0</v>
      </c>
      <c r="H12" s="6" t="s">
        <v>81</v>
      </c>
      <c r="I12" s="6" t="s">
        <v>82</v>
      </c>
      <c r="J12" s="12">
        <v>0.0</v>
      </c>
      <c r="K12" s="6" t="s">
        <v>83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">
    <mergeCell ref="A1:K1"/>
  </mergeCells>
  <dataValidations>
    <dataValidation type="list" allowBlank="1" sqref="I4:I12">
      <formula1>"Sí,No"</formula1>
    </dataValidation>
    <dataValidation type="list" allowBlank="1" sqref="A4:A12">
      <formula1>"Cobrado,Pendiente,Programado,Confirmado / pendiente de pago,A confirmar,Pagado mes anterior,Prepago anterior"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75"/>
    <col customWidth="1" min="2" max="2" width="8.63"/>
    <col customWidth="1" min="3" max="3" width="9.75"/>
    <col customWidth="1" min="4" max="4" width="33.13"/>
    <col customWidth="1" min="5" max="5" width="8.63"/>
    <col customWidth="1" min="6" max="6" width="9.38"/>
    <col customWidth="1" min="7" max="7" width="8.63"/>
    <col customWidth="1" min="8" max="8" width="10.25"/>
    <col customWidth="1" min="9" max="9" width="83.88"/>
    <col customWidth="1" min="10" max="26" width="8.63"/>
  </cols>
  <sheetData>
    <row r="1">
      <c r="A1" s="2" t="s">
        <v>93</v>
      </c>
      <c r="K1" s="1"/>
    </row>
    <row r="3">
      <c r="A3" s="4" t="s">
        <v>4</v>
      </c>
      <c r="B3" s="4" t="s">
        <v>45</v>
      </c>
      <c r="C3" s="4" t="s">
        <v>95</v>
      </c>
      <c r="D3" s="4" t="s">
        <v>96</v>
      </c>
      <c r="E3" s="4" t="s">
        <v>51</v>
      </c>
      <c r="F3" s="4" t="s">
        <v>5</v>
      </c>
      <c r="G3" s="4" t="s">
        <v>97</v>
      </c>
      <c r="H3" s="4" t="s">
        <v>98</v>
      </c>
      <c r="I3" s="4" t="s">
        <v>99</v>
      </c>
      <c r="J3" s="4" t="s">
        <v>23</v>
      </c>
    </row>
    <row r="4">
      <c r="A4" s="6" t="s">
        <v>54</v>
      </c>
      <c r="C4" s="6" t="s">
        <v>101</v>
      </c>
      <c r="D4" s="6" t="s">
        <v>103</v>
      </c>
      <c r="E4" s="6" t="s">
        <v>104</v>
      </c>
      <c r="F4" s="12">
        <v>4200.0</v>
      </c>
      <c r="G4" s="12" t="s">
        <v>82</v>
      </c>
      <c r="H4" s="12">
        <f>F4*'Configuración'!B3</f>
        <v>165690</v>
      </c>
      <c r="I4" s="6" t="s">
        <v>109</v>
      </c>
      <c r="J4" s="6" t="s">
        <v>25</v>
      </c>
    </row>
    <row r="5">
      <c r="A5" s="6" t="s">
        <v>110</v>
      </c>
      <c r="C5" s="6" t="s">
        <v>111</v>
      </c>
      <c r="D5" s="6" t="s">
        <v>112</v>
      </c>
      <c r="E5" s="6" t="s">
        <v>71</v>
      </c>
      <c r="F5" s="12">
        <v>24601.0</v>
      </c>
      <c r="G5" s="12" t="s">
        <v>82</v>
      </c>
      <c r="H5" s="12">
        <f>IF(F5="",0,IF(E5="USD",IF(G5="Sí",F5*'Configuración'!$B$3,0),IF(G5="Sí",F5,0)))</f>
        <v>24601</v>
      </c>
      <c r="I5" s="6" t="s">
        <v>116</v>
      </c>
      <c r="J5" s="6" t="s">
        <v>25</v>
      </c>
    </row>
    <row r="6">
      <c r="A6" s="6" t="s">
        <v>54</v>
      </c>
      <c r="C6" s="6" t="s">
        <v>118</v>
      </c>
      <c r="D6" s="6" t="s">
        <v>119</v>
      </c>
      <c r="E6" s="6" t="s">
        <v>71</v>
      </c>
      <c r="F6" s="12"/>
      <c r="G6" s="12" t="s">
        <v>82</v>
      </c>
      <c r="H6" s="12">
        <f>IF(F6="",0,IF(E6="USD",IF(G6="Sí",F6*'Configuración'!$B$3,0),IF(G6="Sí",F6,0)))</f>
        <v>0</v>
      </c>
      <c r="I6" s="6" t="s">
        <v>122</v>
      </c>
      <c r="J6" s="6" t="s">
        <v>25</v>
      </c>
    </row>
    <row r="7">
      <c r="A7" s="6" t="s">
        <v>54</v>
      </c>
      <c r="C7" s="6" t="s">
        <v>16</v>
      </c>
      <c r="D7" s="6" t="s">
        <v>123</v>
      </c>
      <c r="E7" s="6" t="s">
        <v>104</v>
      </c>
      <c r="F7" s="12">
        <v>250.0</v>
      </c>
      <c r="G7" s="12" t="s">
        <v>36</v>
      </c>
      <c r="H7" s="12">
        <f>IF(F7="",0,IF(E7="USD",IF(G7="Sí",F7*'Configuración'!$B$3,0),IF(G7="Sí",F7,0)))</f>
        <v>0</v>
      </c>
      <c r="I7" s="6" t="s">
        <v>129</v>
      </c>
      <c r="J7" s="6" t="s">
        <v>25</v>
      </c>
    </row>
    <row r="8">
      <c r="A8" s="6" t="s">
        <v>54</v>
      </c>
      <c r="C8" s="6" t="s">
        <v>131</v>
      </c>
      <c r="E8" s="6" t="s">
        <v>71</v>
      </c>
      <c r="F8" s="33">
        <v>489.13</v>
      </c>
      <c r="G8" s="12" t="s">
        <v>82</v>
      </c>
      <c r="H8" s="12">
        <f>IF(F8="",0,IF(E8="USD",IF(G8="Sí",F8*'Configuración'!$B$3,0),IF(G8="Sí",F8,0)))</f>
        <v>489.13</v>
      </c>
    </row>
    <row r="9">
      <c r="A9" s="6"/>
      <c r="F9" s="33"/>
      <c r="H9" s="12"/>
    </row>
    <row r="10">
      <c r="A10" s="6"/>
      <c r="F10" s="33"/>
      <c r="H10" s="12"/>
    </row>
    <row r="11">
      <c r="A11" s="6"/>
      <c r="F11" s="33"/>
      <c r="H11" s="12"/>
    </row>
    <row r="12">
      <c r="A12" s="6"/>
      <c r="F12" s="33"/>
      <c r="H12" s="12"/>
    </row>
    <row r="13">
      <c r="A13" s="6"/>
      <c r="F13" s="33"/>
      <c r="H13" s="12"/>
    </row>
    <row r="14">
      <c r="A14" s="6"/>
      <c r="F14" s="33"/>
      <c r="H14" s="12"/>
    </row>
    <row r="15">
      <c r="A15" s="6"/>
      <c r="F15" s="33"/>
      <c r="H15" s="12"/>
    </row>
    <row r="16">
      <c r="A16" s="6"/>
      <c r="F16" s="33"/>
      <c r="H16" s="12"/>
    </row>
    <row r="17">
      <c r="A17" s="6"/>
      <c r="F17" s="33"/>
      <c r="H17" s="12"/>
    </row>
    <row r="18">
      <c r="A18" s="6"/>
      <c r="F18" s="33"/>
      <c r="H18" s="12"/>
    </row>
    <row r="19">
      <c r="A19" s="6"/>
      <c r="F19" s="33"/>
      <c r="H19" s="12"/>
    </row>
    <row r="20" ht="15.75" customHeight="1"/>
    <row r="21" ht="15.75" customHeight="1"/>
    <row r="22" ht="15.75" customHeight="1">
      <c r="D22" s="14"/>
    </row>
    <row r="23" ht="15.75" customHeight="1">
      <c r="D23" s="14"/>
    </row>
    <row r="24" ht="15.75" customHeight="1">
      <c r="D24" s="14"/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">
    <mergeCell ref="A1:J1"/>
  </mergeCells>
  <dataValidations>
    <dataValidation type="list" allowBlank="1" sqref="A4:A19">
      <formula1>"Cobrado,Pendiente,Programado"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1.0"/>
    <col customWidth="1" min="3" max="3" width="10.0"/>
    <col customWidth="1" min="4" max="4" width="11.13"/>
    <col customWidth="1" min="5" max="5" width="8.63"/>
    <col customWidth="1" min="6" max="6" width="32.0"/>
    <col customWidth="1" min="7" max="7" width="24.38"/>
    <col customWidth="1" min="8" max="8" width="7.0"/>
    <col customWidth="1" min="9" max="9" width="13.38"/>
    <col customWidth="1" min="10" max="26" width="8.63"/>
  </cols>
  <sheetData>
    <row r="1">
      <c r="A1" s="42" t="s">
        <v>163</v>
      </c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>
      <c r="A3" s="44" t="s">
        <v>165</v>
      </c>
      <c r="B3" s="44" t="s">
        <v>166</v>
      </c>
      <c r="C3" s="44" t="s">
        <v>167</v>
      </c>
      <c r="D3" s="44" t="s">
        <v>168</v>
      </c>
      <c r="E3" s="44" t="s">
        <v>4</v>
      </c>
      <c r="F3" s="44" t="s">
        <v>99</v>
      </c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>
      <c r="A4" s="43" t="s">
        <v>34</v>
      </c>
      <c r="B4" s="14">
        <v>2044.25</v>
      </c>
      <c r="C4" s="45">
        <v>250.0</v>
      </c>
      <c r="D4" s="45">
        <f t="shared" ref="D4:D6" si="1">MAX(B4-C4,0)</f>
        <v>1794.25</v>
      </c>
      <c r="E4" s="46" t="s">
        <v>170</v>
      </c>
      <c r="F4" s="43" t="s">
        <v>171</v>
      </c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>
      <c r="A5" s="43" t="s">
        <v>44</v>
      </c>
      <c r="B5" s="14">
        <v>501.25</v>
      </c>
      <c r="C5" s="45">
        <v>0.0</v>
      </c>
      <c r="D5" s="45">
        <f t="shared" si="1"/>
        <v>501.25</v>
      </c>
      <c r="E5" s="46" t="s">
        <v>170</v>
      </c>
      <c r="F5" s="43" t="s">
        <v>171</v>
      </c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>
      <c r="A6" s="43" t="s">
        <v>60</v>
      </c>
      <c r="B6" s="14">
        <v>38.47</v>
      </c>
      <c r="C6" s="45">
        <v>38.47</v>
      </c>
      <c r="D6" s="45">
        <f t="shared" si="1"/>
        <v>0</v>
      </c>
      <c r="E6" s="46" t="s">
        <v>173</v>
      </c>
      <c r="F6" s="43" t="s">
        <v>174</v>
      </c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>
      <c r="A7" s="43"/>
      <c r="B7" s="47"/>
      <c r="C7" s="47"/>
      <c r="D7" s="47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>
      <c r="A8" s="48" t="s">
        <v>175</v>
      </c>
      <c r="B8" s="49">
        <f t="shared" ref="B8:D8" si="2">SUM(B4:B6)</f>
        <v>2583.97</v>
      </c>
      <c r="C8" s="49">
        <f t="shared" si="2"/>
        <v>288.47</v>
      </c>
      <c r="D8" s="49">
        <f t="shared" si="2"/>
        <v>2295.5</v>
      </c>
      <c r="E8" s="50"/>
      <c r="F8" s="50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>
      <c r="A11" s="44" t="s">
        <v>45</v>
      </c>
      <c r="B11" s="44" t="s">
        <v>165</v>
      </c>
      <c r="C11" s="44" t="s">
        <v>96</v>
      </c>
      <c r="D11" s="44" t="s">
        <v>177</v>
      </c>
      <c r="E11" s="44" t="s">
        <v>178</v>
      </c>
      <c r="F11" s="44" t="s">
        <v>179</v>
      </c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>
      <c r="A12" s="51">
        <v>46247.0</v>
      </c>
      <c r="B12" s="43" t="s">
        <v>60</v>
      </c>
      <c r="C12" s="43" t="s">
        <v>180</v>
      </c>
      <c r="D12" s="45">
        <v>488.6</v>
      </c>
      <c r="E12" s="52">
        <v>39.0</v>
      </c>
      <c r="F12" s="53">
        <f t="shared" ref="F12:F50" si="3">D12*E12</f>
        <v>19055.4</v>
      </c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>
      <c r="A13" s="46"/>
      <c r="B13" s="43" t="s">
        <v>34</v>
      </c>
      <c r="C13" s="43" t="s">
        <v>181</v>
      </c>
      <c r="D13" s="45">
        <v>200.0</v>
      </c>
      <c r="E13" s="52">
        <v>39.0</v>
      </c>
      <c r="F13" s="53">
        <f t="shared" si="3"/>
        <v>7800</v>
      </c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>
      <c r="A14" s="46"/>
      <c r="B14" s="43" t="s">
        <v>44</v>
      </c>
      <c r="C14" s="43" t="s">
        <v>181</v>
      </c>
      <c r="D14" s="45">
        <v>150.0</v>
      </c>
      <c r="E14" s="52">
        <v>39.0</v>
      </c>
      <c r="F14" s="53">
        <f t="shared" si="3"/>
        <v>5850</v>
      </c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>
      <c r="A15" s="46"/>
      <c r="B15" s="43"/>
      <c r="C15" s="43"/>
      <c r="D15" s="47"/>
      <c r="E15" s="54"/>
      <c r="F15" s="53">
        <f t="shared" si="3"/>
        <v>0</v>
      </c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>
      <c r="A16" s="46"/>
      <c r="B16" s="43"/>
      <c r="C16" s="43"/>
      <c r="D16" s="47"/>
      <c r="E16" s="54"/>
      <c r="F16" s="53">
        <f t="shared" si="3"/>
        <v>0</v>
      </c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>
      <c r="A17" s="46"/>
      <c r="B17" s="43"/>
      <c r="C17" s="43"/>
      <c r="D17" s="47"/>
      <c r="E17" s="54"/>
      <c r="F17" s="53">
        <f t="shared" si="3"/>
        <v>0</v>
      </c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>
      <c r="A18" s="46"/>
      <c r="B18" s="43"/>
      <c r="C18" s="43"/>
      <c r="D18" s="47"/>
      <c r="E18" s="54"/>
      <c r="F18" s="53">
        <f t="shared" si="3"/>
        <v>0</v>
      </c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>
      <c r="A19" s="46"/>
      <c r="B19" s="43"/>
      <c r="C19" s="43"/>
      <c r="D19" s="47"/>
      <c r="E19" s="54"/>
      <c r="F19" s="53">
        <f t="shared" si="3"/>
        <v>0</v>
      </c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>
      <c r="A20" s="46"/>
      <c r="B20" s="43"/>
      <c r="C20" s="43"/>
      <c r="D20" s="47"/>
      <c r="E20" s="54"/>
      <c r="F20" s="53">
        <f t="shared" si="3"/>
        <v>0</v>
      </c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ht="15.75" customHeight="1">
      <c r="A21" s="46"/>
      <c r="B21" s="43"/>
      <c r="C21" s="43"/>
      <c r="D21" s="47"/>
      <c r="E21" s="54"/>
      <c r="F21" s="53">
        <f t="shared" si="3"/>
        <v>0</v>
      </c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ht="15.75" customHeight="1">
      <c r="A22" s="46"/>
      <c r="B22" s="43"/>
      <c r="C22" s="43"/>
      <c r="D22" s="47"/>
      <c r="E22" s="54"/>
      <c r="F22" s="53">
        <f t="shared" si="3"/>
        <v>0</v>
      </c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ht="15.75" customHeight="1">
      <c r="A23" s="46"/>
      <c r="B23" s="43"/>
      <c r="C23" s="43"/>
      <c r="D23" s="47"/>
      <c r="E23" s="54"/>
      <c r="F23" s="53">
        <f t="shared" si="3"/>
        <v>0</v>
      </c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ht="15.75" customHeight="1">
      <c r="A24" s="46"/>
      <c r="B24" s="43"/>
      <c r="C24" s="43"/>
      <c r="D24" s="47"/>
      <c r="E24" s="54"/>
      <c r="F24" s="53">
        <f t="shared" si="3"/>
        <v>0</v>
      </c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ht="15.75" customHeight="1">
      <c r="A25" s="46"/>
      <c r="B25" s="43"/>
      <c r="C25" s="43"/>
      <c r="D25" s="47"/>
      <c r="E25" s="54"/>
      <c r="F25" s="53">
        <f t="shared" si="3"/>
        <v>0</v>
      </c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ht="15.75" customHeight="1">
      <c r="A26" s="46"/>
      <c r="B26" s="43"/>
      <c r="C26" s="43"/>
      <c r="D26" s="47"/>
      <c r="E26" s="54"/>
      <c r="F26" s="53">
        <f t="shared" si="3"/>
        <v>0</v>
      </c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ht="15.75" customHeight="1">
      <c r="A27" s="46"/>
      <c r="B27" s="43"/>
      <c r="C27" s="43"/>
      <c r="D27" s="47"/>
      <c r="E27" s="54"/>
      <c r="F27" s="53">
        <f t="shared" si="3"/>
        <v>0</v>
      </c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ht="15.75" customHeight="1">
      <c r="A28" s="46"/>
      <c r="B28" s="43"/>
      <c r="C28" s="43"/>
      <c r="D28" s="47"/>
      <c r="E28" s="54"/>
      <c r="F28" s="53">
        <f t="shared" si="3"/>
        <v>0</v>
      </c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ht="15.75" customHeight="1">
      <c r="A29" s="46"/>
      <c r="B29" s="43"/>
      <c r="C29" s="43"/>
      <c r="D29" s="47"/>
      <c r="E29" s="54"/>
      <c r="F29" s="53">
        <f t="shared" si="3"/>
        <v>0</v>
      </c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ht="15.75" customHeight="1">
      <c r="A30" s="46"/>
      <c r="B30" s="43"/>
      <c r="C30" s="43"/>
      <c r="D30" s="47"/>
      <c r="E30" s="54"/>
      <c r="F30" s="53">
        <f t="shared" si="3"/>
        <v>0</v>
      </c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ht="15.75" customHeight="1">
      <c r="A31" s="46"/>
      <c r="B31" s="43"/>
      <c r="C31" s="43"/>
      <c r="D31" s="47"/>
      <c r="E31" s="54"/>
      <c r="F31" s="53">
        <f t="shared" si="3"/>
        <v>0</v>
      </c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ht="15.75" customHeight="1">
      <c r="A32" s="46"/>
      <c r="B32" s="43"/>
      <c r="C32" s="43"/>
      <c r="D32" s="47"/>
      <c r="E32" s="54"/>
      <c r="F32" s="53">
        <f t="shared" si="3"/>
        <v>0</v>
      </c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ht="15.75" customHeight="1">
      <c r="A33" s="46"/>
      <c r="B33" s="43"/>
      <c r="C33" s="43"/>
      <c r="D33" s="47"/>
      <c r="E33" s="54"/>
      <c r="F33" s="53">
        <f t="shared" si="3"/>
        <v>0</v>
      </c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ht="15.75" customHeight="1">
      <c r="A34" s="46"/>
      <c r="B34" s="43"/>
      <c r="C34" s="43"/>
      <c r="D34" s="47"/>
      <c r="E34" s="54"/>
      <c r="F34" s="53">
        <f t="shared" si="3"/>
        <v>0</v>
      </c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ht="15.75" customHeight="1">
      <c r="A35" s="46"/>
      <c r="B35" s="43"/>
      <c r="C35" s="43"/>
      <c r="D35" s="47"/>
      <c r="E35" s="54"/>
      <c r="F35" s="53">
        <f t="shared" si="3"/>
        <v>0</v>
      </c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ht="15.75" customHeight="1">
      <c r="A36" s="46"/>
      <c r="B36" s="43"/>
      <c r="C36" s="43"/>
      <c r="D36" s="47"/>
      <c r="E36" s="54"/>
      <c r="F36" s="53">
        <f t="shared" si="3"/>
        <v>0</v>
      </c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ht="15.75" customHeight="1">
      <c r="A37" s="46"/>
      <c r="B37" s="43"/>
      <c r="C37" s="43"/>
      <c r="D37" s="47"/>
      <c r="E37" s="54"/>
      <c r="F37" s="53">
        <f t="shared" si="3"/>
        <v>0</v>
      </c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ht="15.75" customHeight="1">
      <c r="A38" s="46"/>
      <c r="B38" s="43"/>
      <c r="C38" s="43"/>
      <c r="D38" s="47"/>
      <c r="E38" s="54"/>
      <c r="F38" s="53">
        <f t="shared" si="3"/>
        <v>0</v>
      </c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ht="15.75" customHeight="1">
      <c r="A39" s="46"/>
      <c r="B39" s="43"/>
      <c r="C39" s="43"/>
      <c r="D39" s="47"/>
      <c r="E39" s="54"/>
      <c r="F39" s="53">
        <f t="shared" si="3"/>
        <v>0</v>
      </c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ht="15.75" customHeight="1">
      <c r="A40" s="46"/>
      <c r="B40" s="43"/>
      <c r="C40" s="43"/>
      <c r="D40" s="47"/>
      <c r="E40" s="54"/>
      <c r="F40" s="53">
        <f t="shared" si="3"/>
        <v>0</v>
      </c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ht="15.75" customHeight="1">
      <c r="A41" s="46"/>
      <c r="B41" s="43"/>
      <c r="C41" s="43"/>
      <c r="D41" s="47"/>
      <c r="E41" s="54"/>
      <c r="F41" s="53">
        <f t="shared" si="3"/>
        <v>0</v>
      </c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ht="15.75" customHeight="1">
      <c r="A42" s="46"/>
      <c r="B42" s="43"/>
      <c r="C42" s="43"/>
      <c r="D42" s="47"/>
      <c r="E42" s="54"/>
      <c r="F42" s="53">
        <f t="shared" si="3"/>
        <v>0</v>
      </c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ht="15.75" customHeight="1">
      <c r="A43" s="46"/>
      <c r="B43" s="43"/>
      <c r="C43" s="43"/>
      <c r="D43" s="47"/>
      <c r="E43" s="54"/>
      <c r="F43" s="53">
        <f t="shared" si="3"/>
        <v>0</v>
      </c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ht="15.75" customHeight="1">
      <c r="A44" s="46"/>
      <c r="B44" s="43"/>
      <c r="C44" s="43"/>
      <c r="D44" s="47"/>
      <c r="E44" s="54"/>
      <c r="F44" s="53">
        <f t="shared" si="3"/>
        <v>0</v>
      </c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ht="15.75" customHeight="1">
      <c r="A45" s="46"/>
      <c r="B45" s="43"/>
      <c r="C45" s="43"/>
      <c r="D45" s="47"/>
      <c r="E45" s="54"/>
      <c r="F45" s="53">
        <f t="shared" si="3"/>
        <v>0</v>
      </c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ht="15.75" customHeight="1">
      <c r="A46" s="46"/>
      <c r="B46" s="43"/>
      <c r="C46" s="43"/>
      <c r="D46" s="47"/>
      <c r="E46" s="54"/>
      <c r="F46" s="53">
        <f t="shared" si="3"/>
        <v>0</v>
      </c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ht="15.75" customHeight="1">
      <c r="A47" s="46"/>
      <c r="B47" s="43"/>
      <c r="C47" s="43"/>
      <c r="D47" s="47"/>
      <c r="E47" s="54"/>
      <c r="F47" s="53">
        <f t="shared" si="3"/>
        <v>0</v>
      </c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ht="15.75" customHeight="1">
      <c r="A48" s="46"/>
      <c r="B48" s="43"/>
      <c r="C48" s="43"/>
      <c r="D48" s="47"/>
      <c r="E48" s="54"/>
      <c r="F48" s="53">
        <f t="shared" si="3"/>
        <v>0</v>
      </c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ht="15.75" customHeight="1">
      <c r="A49" s="46"/>
      <c r="B49" s="43"/>
      <c r="C49" s="43"/>
      <c r="D49" s="47"/>
      <c r="E49" s="54"/>
      <c r="F49" s="53">
        <f t="shared" si="3"/>
        <v>0</v>
      </c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ht="15.75" customHeight="1">
      <c r="A50" s="46"/>
      <c r="B50" s="43"/>
      <c r="C50" s="43"/>
      <c r="D50" s="47"/>
      <c r="E50" s="54"/>
      <c r="F50" s="53">
        <f t="shared" si="3"/>
        <v>0</v>
      </c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ht="15.75" customHeight="1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ht="15.75" customHeight="1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ht="15.75" customHeight="1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ht="15.75" customHeight="1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ht="15.75" customHeight="1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ht="15.75" customHeight="1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ht="15.75" customHeight="1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ht="15.75" customHeight="1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ht="15.75" customHeight="1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ht="15.75" customHeight="1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ht="15.75" customHeight="1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ht="15.75" customHeight="1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ht="15.75" customHeight="1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ht="15.75" customHeight="1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ht="15.75" customHeight="1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ht="15.75" customHeight="1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ht="15.75" customHeight="1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ht="15.75" customHeight="1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ht="15.75" customHeight="1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ht="15.75" customHeight="1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ht="15.75" customHeight="1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ht="15.75" customHeight="1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ht="15.75" customHeight="1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ht="15.75" customHeight="1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ht="15.75" customHeight="1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ht="15.75" customHeight="1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ht="15.75" customHeight="1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ht="15.75" customHeight="1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ht="15.75" customHeight="1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ht="15.75" customHeight="1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ht="15.75" customHeight="1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ht="15.75" customHeight="1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ht="15.75" customHeight="1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ht="15.75" customHeight="1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ht="15.75" customHeight="1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ht="15.75" customHeight="1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ht="15.75" customHeight="1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ht="15.75" customHeight="1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ht="15.75" customHeight="1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ht="15.75" customHeight="1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ht="15.75" customHeight="1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ht="15.75" customHeight="1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ht="15.75" customHeight="1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ht="15.75" customHeight="1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ht="15.75" customHeight="1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ht="15.75" customHeight="1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ht="15.75" customHeight="1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ht="15.75" customHeight="1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ht="15.75" customHeight="1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ht="15.75" customHeight="1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ht="15.75" customHeight="1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ht="15.75" customHeight="1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ht="15.75" customHeight="1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ht="15.75" customHeight="1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ht="15.75" customHeight="1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ht="15.75" customHeight="1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ht="15.75" customHeight="1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ht="15.75" customHeight="1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ht="15.75" customHeight="1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ht="15.75" customHeight="1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ht="15.75" customHeight="1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ht="15.75" customHeight="1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ht="15.75" customHeight="1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ht="15.75" customHeight="1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ht="15.75" customHeight="1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ht="15.75" customHeight="1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ht="15.75" customHeight="1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ht="15.75" customHeight="1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ht="15.75" customHeight="1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ht="15.75" customHeight="1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ht="15.75" customHeight="1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ht="15.75" customHeight="1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ht="15.75" customHeight="1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ht="15.75" customHeight="1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ht="15.75" customHeight="1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ht="15.75" customHeight="1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ht="15.75" customHeight="1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ht="15.75" customHeight="1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ht="15.75" customHeight="1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ht="15.75" customHeight="1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ht="15.75" customHeight="1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ht="15.75" customHeight="1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ht="15.75" customHeight="1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ht="15.75" customHeight="1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ht="15.75" customHeight="1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ht="15.75" customHeight="1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ht="15.75" customHeight="1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ht="15.75" customHeight="1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ht="15.75" customHeight="1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ht="15.75" customHeight="1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ht="15.75" customHeight="1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ht="15.75" customHeight="1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ht="15.75" customHeight="1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ht="15.75" customHeight="1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ht="15.75" customHeight="1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ht="15.75" customHeight="1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ht="15.75" customHeight="1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ht="15.75" customHeight="1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ht="15.75" customHeight="1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ht="15.75" customHeight="1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ht="15.75" customHeight="1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ht="15.75" customHeight="1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ht="15.75" customHeight="1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ht="15.75" customHeight="1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ht="15.75" customHeight="1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ht="15.75" customHeight="1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ht="15.75" customHeight="1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ht="15.75" customHeight="1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ht="15.75" customHeight="1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ht="15.75" customHeight="1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ht="15.75" customHeight="1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ht="15.75" customHeight="1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ht="15.75" customHeight="1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ht="15.75" customHeight="1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ht="15.75" customHeight="1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ht="15.75" customHeight="1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ht="15.75" customHeight="1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ht="15.75" customHeight="1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ht="15.75" customHeight="1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ht="15.75" customHeight="1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ht="15.75" customHeight="1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ht="15.75" customHeight="1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ht="15.75" customHeight="1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ht="15.75" customHeight="1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ht="15.75" customHeight="1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ht="15.75" customHeight="1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ht="15.75" customHeight="1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ht="15.75" customHeight="1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ht="15.75" customHeight="1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ht="15.75" customHeight="1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ht="15.75" customHeight="1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ht="15.75" customHeight="1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ht="15.75" customHeight="1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ht="15.75" customHeight="1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ht="15.75" customHeight="1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ht="15.75" customHeight="1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ht="15.75" customHeight="1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ht="15.75" customHeight="1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ht="15.75" customHeight="1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ht="15.75" customHeight="1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ht="15.75" customHeight="1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ht="15.75" customHeight="1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ht="15.75" customHeight="1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ht="15.75" customHeight="1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ht="15.75" customHeight="1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ht="15.75" customHeight="1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ht="15.75" customHeight="1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ht="15.75" customHeight="1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ht="15.75" customHeight="1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ht="15.75" customHeight="1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ht="15.75" customHeight="1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ht="15.75" customHeight="1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ht="15.75" customHeight="1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ht="15.75" customHeight="1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ht="15.75" customHeight="1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ht="15.75" customHeight="1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ht="15.75" customHeight="1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ht="15.75" customHeight="1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ht="15.75" customHeight="1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ht="15.75" customHeight="1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ht="15.75" customHeight="1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ht="15.75" customHeight="1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ht="15.75" customHeight="1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ht="15.75" customHeight="1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ht="15.75" customHeight="1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ht="15.75" customHeight="1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ht="15.75" customHeight="1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ht="15.75" customHeight="1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ht="15.75" customHeight="1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ht="15.75" customHeight="1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ht="15.75" customHeight="1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ht="15.75" customHeight="1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ht="15.75" customHeight="1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ht="15.75" customHeight="1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ht="15.75" customHeight="1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ht="15.75" customHeight="1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ht="15.75" customHeight="1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ht="15.75" customHeight="1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ht="15.75" customHeight="1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ht="15.75" customHeight="1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ht="15.75" customHeight="1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ht="15.75" customHeight="1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ht="15.75" customHeight="1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ht="15.75" customHeight="1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ht="15.75" customHeight="1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ht="15.75" customHeight="1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ht="15.75" customHeight="1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ht="15.75" customHeight="1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ht="15.75" customHeight="1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ht="15.75" customHeight="1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ht="15.75" customHeight="1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ht="15.75" customHeight="1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ht="15.75" customHeight="1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ht="15.75" customHeight="1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ht="15.75" customHeight="1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ht="15.75" customHeight="1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ht="15.75" customHeight="1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ht="15.75" customHeight="1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ht="15.75" customHeight="1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ht="15.75" customHeight="1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ht="15.75" customHeight="1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ht="15.75" customHeight="1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ht="15.75" customHeight="1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ht="15.75" customHeight="1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ht="15.75" customHeight="1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ht="15.75" customHeight="1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ht="15.75" customHeight="1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ht="15.75" customHeight="1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ht="15.75" customHeight="1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ht="15.75" customHeight="1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ht="15.75" customHeight="1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ht="15.75" customHeight="1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ht="15.75" customHeight="1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ht="15.75" customHeight="1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ht="15.75" customHeight="1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ht="15.75" customHeight="1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ht="15.75" customHeight="1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ht="15.75" customHeight="1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ht="15.75" customHeight="1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ht="15.75" customHeight="1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ht="15.75" customHeight="1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ht="15.75" customHeight="1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ht="15.75" customHeight="1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ht="15.75" customHeight="1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ht="15.75" customHeight="1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ht="15.75" customHeight="1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ht="15.75" customHeight="1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ht="15.75" customHeight="1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ht="15.75" customHeight="1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ht="15.75" customHeight="1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ht="15.75" customHeight="1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ht="15.75" customHeight="1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ht="15.75" customHeight="1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ht="15.75" customHeight="1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ht="15.75" customHeight="1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ht="15.75" customHeight="1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ht="15.75" customHeight="1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ht="15.75" customHeight="1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ht="15.75" customHeight="1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ht="15.75" customHeight="1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ht="15.75" customHeight="1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ht="15.75" customHeight="1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ht="15.75" customHeight="1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ht="15.75" customHeight="1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ht="15.75" customHeight="1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ht="15.75" customHeight="1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ht="15.75" customHeight="1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ht="15.75" customHeight="1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ht="15.75" customHeight="1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ht="15.75" customHeight="1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ht="15.75" customHeight="1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ht="15.75" customHeight="1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ht="15.75" customHeight="1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ht="15.75" customHeight="1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ht="15.75" customHeight="1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ht="15.75" customHeight="1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ht="15.75" customHeight="1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ht="15.75" customHeight="1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ht="15.75" customHeight="1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ht="15.75" customHeight="1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ht="15.75" customHeight="1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ht="15.75" customHeight="1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ht="15.75" customHeight="1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ht="15.75" customHeight="1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ht="15.75" customHeight="1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ht="15.75" customHeight="1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ht="15.75" customHeight="1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ht="15.75" customHeight="1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ht="15.75" customHeight="1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ht="15.75" customHeight="1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ht="15.75" customHeight="1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ht="15.75" customHeight="1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ht="15.75" customHeight="1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ht="15.75" customHeight="1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ht="15.75" customHeight="1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ht="15.75" customHeight="1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ht="15.75" customHeight="1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ht="15.75" customHeight="1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ht="15.75" customHeight="1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ht="15.75" customHeight="1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ht="15.75" customHeight="1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ht="15.75" customHeight="1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ht="15.75" customHeight="1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ht="15.75" customHeight="1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ht="15.75" customHeight="1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ht="15.75" customHeight="1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ht="15.75" customHeight="1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ht="15.75" customHeight="1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ht="15.75" customHeight="1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ht="15.75" customHeight="1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ht="15.75" customHeight="1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ht="15.75" customHeight="1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ht="15.75" customHeight="1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ht="15.75" customHeight="1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ht="15.75" customHeight="1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ht="15.75" customHeight="1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ht="15.75" customHeight="1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ht="15.75" customHeight="1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ht="15.75" customHeight="1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ht="15.75" customHeight="1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ht="15.75" customHeight="1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ht="15.75" customHeight="1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ht="15.75" customHeight="1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ht="15.75" customHeight="1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ht="15.75" customHeight="1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ht="15.75" customHeight="1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ht="15.75" customHeight="1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ht="15.75" customHeight="1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ht="15.75" customHeight="1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ht="15.75" customHeight="1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ht="15.75" customHeight="1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ht="15.75" customHeight="1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ht="15.75" customHeight="1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ht="15.75" customHeight="1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ht="15.75" customHeight="1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ht="15.75" customHeight="1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ht="15.75" customHeight="1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ht="15.75" customHeight="1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ht="15.75" customHeight="1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ht="15.75" customHeight="1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ht="15.75" customHeight="1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ht="15.75" customHeight="1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ht="15.75" customHeight="1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ht="15.75" customHeight="1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ht="15.75" customHeight="1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ht="15.75" customHeight="1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ht="15.75" customHeight="1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ht="15.75" customHeight="1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ht="15.75" customHeight="1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ht="15.75" customHeight="1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ht="15.75" customHeight="1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ht="15.75" customHeight="1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ht="15.75" customHeight="1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ht="15.75" customHeight="1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ht="15.75" customHeight="1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ht="15.75" customHeight="1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ht="15.75" customHeight="1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ht="15.75" customHeight="1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ht="15.75" customHeight="1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ht="15.75" customHeight="1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ht="15.75" customHeight="1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ht="15.75" customHeight="1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ht="15.75" customHeight="1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ht="15.75" customHeight="1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ht="15.75" customHeight="1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ht="15.75" customHeight="1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ht="15.75" customHeight="1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ht="15.75" customHeight="1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ht="15.75" customHeight="1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ht="15.75" customHeight="1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ht="15.75" customHeight="1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ht="15.75" customHeight="1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ht="15.75" customHeight="1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ht="15.75" customHeight="1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ht="15.75" customHeight="1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ht="15.75" customHeight="1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ht="15.75" customHeight="1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ht="15.75" customHeight="1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ht="15.75" customHeight="1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ht="15.75" customHeight="1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ht="15.75" customHeight="1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ht="15.75" customHeight="1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ht="15.75" customHeight="1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ht="15.75" customHeight="1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ht="15.75" customHeight="1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ht="15.75" customHeight="1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ht="15.75" customHeight="1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ht="15.75" customHeight="1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ht="15.75" customHeight="1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ht="15.75" customHeight="1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ht="15.75" customHeight="1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ht="15.75" customHeight="1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ht="15.75" customHeight="1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ht="15.75" customHeight="1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ht="15.75" customHeight="1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ht="15.75" customHeight="1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ht="15.75" customHeight="1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ht="15.75" customHeight="1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ht="15.75" customHeight="1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ht="15.75" customHeight="1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ht="15.75" customHeight="1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ht="15.75" customHeight="1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ht="15.75" customHeight="1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ht="15.75" customHeight="1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ht="15.75" customHeight="1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ht="15.75" customHeight="1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ht="15.75" customHeight="1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ht="15.75" customHeight="1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ht="15.75" customHeight="1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ht="15.75" customHeight="1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ht="15.75" customHeight="1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ht="15.75" customHeight="1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ht="15.75" customHeight="1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ht="15.75" customHeight="1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ht="15.75" customHeight="1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ht="15.75" customHeight="1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ht="15.75" customHeight="1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ht="15.75" customHeight="1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ht="15.75" customHeight="1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ht="15.75" customHeight="1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ht="15.75" customHeight="1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ht="15.75" customHeight="1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ht="15.75" customHeight="1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ht="15.75" customHeight="1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ht="15.75" customHeight="1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ht="15.75" customHeight="1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ht="15.75" customHeight="1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ht="15.75" customHeight="1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ht="15.75" customHeight="1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ht="15.75" customHeight="1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ht="15.75" customHeight="1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ht="15.75" customHeight="1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ht="15.75" customHeight="1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ht="15.75" customHeight="1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ht="15.75" customHeight="1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ht="15.75" customHeight="1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ht="15.75" customHeight="1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ht="15.75" customHeight="1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ht="15.75" customHeight="1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ht="15.75" customHeight="1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ht="15.75" customHeight="1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ht="15.75" customHeight="1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ht="15.75" customHeight="1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ht="15.75" customHeight="1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ht="15.75" customHeight="1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ht="15.75" customHeight="1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ht="15.75" customHeight="1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ht="15.75" customHeight="1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ht="15.75" customHeight="1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ht="15.75" customHeight="1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ht="15.75" customHeight="1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ht="15.75" customHeight="1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ht="15.75" customHeight="1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ht="15.75" customHeight="1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ht="15.75" customHeight="1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ht="15.75" customHeight="1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ht="15.75" customHeight="1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ht="15.75" customHeight="1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ht="15.75" customHeight="1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ht="15.75" customHeight="1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ht="15.75" customHeight="1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ht="15.75" customHeight="1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ht="15.75" customHeight="1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ht="15.75" customHeight="1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ht="15.75" customHeight="1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ht="15.75" customHeight="1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ht="15.75" customHeight="1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ht="15.75" customHeight="1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ht="15.75" customHeight="1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ht="15.75" customHeight="1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ht="15.75" customHeight="1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ht="15.75" customHeight="1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ht="15.75" customHeight="1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ht="15.75" customHeight="1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ht="15.75" customHeight="1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ht="15.75" customHeight="1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ht="15.75" customHeight="1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ht="15.75" customHeight="1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ht="15.75" customHeight="1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ht="15.75" customHeight="1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ht="15.75" customHeight="1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ht="15.75" customHeight="1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ht="15.75" customHeight="1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ht="15.75" customHeight="1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ht="15.75" customHeight="1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ht="15.75" customHeight="1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ht="15.75" customHeight="1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ht="15.75" customHeight="1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ht="15.75" customHeight="1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ht="15.75" customHeight="1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ht="15.75" customHeight="1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ht="15.75" customHeight="1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ht="15.75" customHeight="1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ht="15.75" customHeight="1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ht="15.75" customHeight="1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ht="15.75" customHeight="1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ht="15.75" customHeight="1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ht="15.75" customHeight="1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ht="15.75" customHeight="1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ht="15.75" customHeight="1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ht="15.75" customHeight="1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ht="15.75" customHeight="1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ht="15.75" customHeight="1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ht="15.75" customHeight="1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ht="15.75" customHeight="1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ht="15.75" customHeight="1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ht="15.75" customHeight="1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ht="15.75" customHeight="1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ht="15.75" customHeight="1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ht="15.75" customHeight="1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ht="15.75" customHeight="1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ht="15.75" customHeight="1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ht="15.75" customHeight="1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ht="15.75" customHeight="1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ht="15.75" customHeight="1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ht="15.75" customHeight="1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ht="15.75" customHeight="1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ht="15.75" customHeight="1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ht="15.75" customHeight="1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ht="15.75" customHeight="1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ht="15.75" customHeight="1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ht="15.75" customHeight="1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ht="15.75" customHeight="1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ht="15.75" customHeight="1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ht="15.75" customHeight="1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ht="15.75" customHeight="1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ht="15.75" customHeight="1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ht="15.75" customHeight="1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ht="15.75" customHeight="1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ht="15.75" customHeight="1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ht="15.75" customHeight="1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ht="15.75" customHeight="1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ht="15.75" customHeight="1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ht="15.75" customHeight="1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ht="15.75" customHeight="1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ht="15.75" customHeight="1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ht="15.75" customHeight="1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ht="15.75" customHeight="1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ht="15.75" customHeight="1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ht="15.75" customHeight="1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ht="15.75" customHeight="1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ht="15.75" customHeight="1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ht="15.75" customHeight="1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ht="15.75" customHeight="1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ht="15.75" customHeight="1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ht="15.75" customHeight="1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ht="15.75" customHeight="1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ht="15.75" customHeight="1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ht="15.75" customHeight="1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ht="15.75" customHeight="1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ht="15.75" customHeight="1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ht="15.75" customHeight="1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ht="15.75" customHeight="1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ht="15.75" customHeight="1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ht="15.75" customHeight="1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ht="15.75" customHeight="1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ht="15.75" customHeight="1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ht="15.75" customHeight="1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ht="15.75" customHeight="1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ht="15.75" customHeight="1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ht="15.75" customHeight="1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ht="15.75" customHeight="1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ht="15.75" customHeight="1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ht="15.75" customHeight="1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ht="15.75" customHeight="1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ht="15.75" customHeight="1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ht="15.75" customHeight="1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ht="15.75" customHeight="1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ht="15.75" customHeight="1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ht="15.75" customHeight="1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ht="15.75" customHeight="1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ht="15.75" customHeight="1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ht="15.75" customHeight="1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ht="15.75" customHeight="1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ht="15.75" customHeight="1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ht="15.75" customHeight="1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ht="15.75" customHeight="1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ht="15.75" customHeight="1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ht="15.75" customHeight="1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ht="15.75" customHeight="1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ht="15.75" customHeight="1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ht="15.75" customHeight="1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ht="15.75" customHeight="1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ht="15.75" customHeight="1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ht="15.75" customHeight="1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ht="15.75" customHeight="1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ht="15.75" customHeight="1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ht="15.75" customHeight="1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ht="15.75" customHeight="1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ht="15.75" customHeight="1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ht="15.75" customHeight="1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ht="15.75" customHeight="1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ht="15.75" customHeight="1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ht="15.75" customHeight="1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ht="15.75" customHeight="1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ht="15.75" customHeight="1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ht="15.75" customHeight="1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ht="15.75" customHeight="1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ht="15.75" customHeight="1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ht="15.75" customHeight="1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ht="15.75" customHeight="1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ht="15.75" customHeight="1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ht="15.75" customHeight="1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ht="15.75" customHeight="1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ht="15.75" customHeight="1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ht="15.75" customHeight="1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ht="15.75" customHeight="1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ht="15.75" customHeight="1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ht="15.75" customHeight="1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ht="15.75" customHeight="1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ht="15.75" customHeight="1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ht="15.75" customHeight="1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ht="15.75" customHeight="1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ht="15.75" customHeight="1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ht="15.75" customHeight="1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ht="15.75" customHeight="1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ht="15.75" customHeight="1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ht="15.75" customHeight="1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ht="15.75" customHeight="1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ht="15.75" customHeight="1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ht="15.75" customHeight="1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ht="15.75" customHeight="1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ht="15.75" customHeight="1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ht="15.75" customHeight="1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ht="15.75" customHeight="1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ht="15.75" customHeight="1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ht="15.75" customHeight="1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ht="15.75" customHeight="1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ht="15.75" customHeight="1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ht="15.75" customHeight="1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ht="15.75" customHeight="1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ht="15.75" customHeight="1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ht="15.75" customHeight="1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ht="15.75" customHeight="1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ht="15.75" customHeight="1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ht="15.75" customHeight="1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ht="15.75" customHeight="1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ht="15.75" customHeight="1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ht="15.75" customHeight="1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ht="15.75" customHeight="1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ht="15.75" customHeight="1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ht="15.75" customHeight="1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ht="15.75" customHeight="1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ht="15.75" customHeight="1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ht="15.75" customHeight="1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ht="15.75" customHeight="1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ht="15.75" customHeight="1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ht="15.75" customHeight="1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ht="15.75" customHeight="1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ht="15.75" customHeight="1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ht="15.75" customHeight="1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ht="15.75" customHeight="1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ht="15.75" customHeight="1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ht="15.75" customHeight="1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ht="15.75" customHeight="1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ht="15.75" customHeight="1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ht="15.75" customHeight="1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ht="15.75" customHeight="1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ht="15.75" customHeight="1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ht="15.75" customHeight="1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ht="15.75" customHeight="1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ht="15.75" customHeight="1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ht="15.75" customHeight="1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ht="15.75" customHeight="1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ht="15.75" customHeight="1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ht="15.75" customHeight="1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ht="15.75" customHeight="1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ht="15.75" customHeight="1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ht="15.75" customHeight="1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ht="15.75" customHeight="1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ht="15.75" customHeight="1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ht="15.75" customHeight="1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ht="15.75" customHeight="1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ht="15.75" customHeight="1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ht="15.75" customHeight="1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ht="15.75" customHeight="1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ht="15.75" customHeight="1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ht="15.75" customHeight="1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ht="15.75" customHeight="1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ht="15.75" customHeight="1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ht="15.75" customHeight="1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ht="15.75" customHeight="1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ht="15.75" customHeight="1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ht="15.75" customHeight="1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ht="15.75" customHeight="1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ht="15.75" customHeight="1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ht="15.75" customHeight="1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ht="15.75" customHeight="1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ht="15.75" customHeight="1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ht="15.75" customHeight="1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ht="15.75" customHeight="1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ht="15.75" customHeight="1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ht="15.75" customHeight="1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ht="15.75" customHeight="1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ht="15.75" customHeight="1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ht="15.75" customHeight="1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ht="15.75" customHeight="1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ht="15.75" customHeight="1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ht="15.75" customHeight="1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ht="15.75" customHeight="1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ht="15.75" customHeight="1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ht="15.75" customHeight="1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ht="15.75" customHeight="1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ht="15.75" customHeight="1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ht="15.75" customHeight="1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ht="15.75" customHeight="1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ht="15.75" customHeight="1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ht="15.75" customHeight="1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ht="15.75" customHeight="1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ht="15.75" customHeight="1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ht="15.75" customHeight="1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ht="15.75" customHeight="1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ht="15.75" customHeight="1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ht="15.75" customHeight="1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ht="15.75" customHeight="1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ht="15.75" customHeight="1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ht="15.75" customHeight="1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ht="15.75" customHeight="1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ht="15.75" customHeight="1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ht="15.75" customHeight="1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ht="15.75" customHeight="1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ht="15.75" customHeight="1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ht="15.75" customHeight="1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ht="15.75" customHeight="1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ht="15.75" customHeight="1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ht="15.75" customHeight="1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ht="15.75" customHeight="1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ht="15.75" customHeight="1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ht="15.75" customHeight="1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ht="15.75" customHeight="1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ht="15.75" customHeight="1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ht="15.75" customHeight="1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ht="15.75" customHeight="1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ht="15.75" customHeight="1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ht="15.75" customHeight="1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ht="15.75" customHeight="1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ht="15.75" customHeight="1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ht="15.75" customHeight="1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ht="15.75" customHeight="1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ht="15.75" customHeight="1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ht="15.75" customHeight="1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ht="15.75" customHeight="1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ht="15.75" customHeight="1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ht="15.75" customHeight="1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ht="15.75" customHeight="1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ht="15.75" customHeight="1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ht="15.75" customHeight="1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ht="15.75" customHeight="1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ht="15.75" customHeight="1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ht="15.75" customHeight="1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ht="15.75" customHeight="1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ht="15.75" customHeight="1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ht="15.75" customHeight="1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ht="15.75" customHeight="1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ht="15.75" customHeight="1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ht="15.75" customHeight="1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ht="15.75" customHeight="1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ht="15.75" customHeight="1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ht="15.75" customHeight="1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ht="15.75" customHeight="1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ht="15.75" customHeight="1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ht="15.75" customHeight="1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ht="15.75" customHeight="1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ht="15.75" customHeight="1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ht="15.75" customHeight="1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ht="15.75" customHeight="1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ht="15.75" customHeight="1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ht="15.75" customHeight="1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ht="15.75" customHeight="1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ht="15.75" customHeight="1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ht="15.75" customHeight="1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ht="15.75" customHeight="1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ht="15.75" customHeight="1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ht="15.75" customHeight="1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ht="15.75" customHeight="1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ht="15.75" customHeight="1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ht="15.75" customHeight="1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ht="15.75" customHeight="1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ht="15.75" customHeight="1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ht="15.75" customHeight="1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ht="15.75" customHeight="1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ht="15.75" customHeight="1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ht="15.75" customHeight="1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ht="15.75" customHeight="1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ht="15.75" customHeight="1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ht="15.75" customHeight="1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ht="15.75" customHeight="1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ht="15.75" customHeight="1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ht="15.75" customHeight="1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ht="15.75" customHeight="1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ht="15.75" customHeight="1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ht="15.75" customHeight="1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ht="15.75" customHeight="1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ht="15.75" customHeight="1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ht="15.75" customHeight="1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ht="15.75" customHeight="1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ht="15.75" customHeight="1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ht="15.75" customHeight="1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ht="15.75" customHeight="1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ht="15.75" customHeight="1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ht="15.75" customHeight="1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ht="15.75" customHeight="1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ht="15.75" customHeight="1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ht="15.75" customHeight="1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ht="15.75" customHeight="1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ht="15.75" customHeight="1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ht="15.75" customHeight="1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ht="15.75" customHeight="1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ht="15.75" customHeight="1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ht="15.75" customHeight="1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ht="15.75" customHeight="1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ht="15.75" customHeight="1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ht="15.75" customHeight="1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ht="15.75" customHeight="1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ht="15.75" customHeight="1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ht="15.75" customHeight="1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ht="15.75" customHeight="1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ht="15.75" customHeight="1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ht="15.75" customHeight="1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ht="15.75" customHeight="1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ht="15.75" customHeight="1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ht="15.75" customHeight="1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ht="15.75" customHeight="1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ht="15.75" customHeight="1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ht="15.75" customHeight="1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ht="15.75" customHeight="1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ht="15.75" customHeight="1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ht="15.75" customHeight="1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ht="15.75" customHeight="1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ht="15.75" customHeight="1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ht="15.75" customHeight="1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ht="15.75" customHeight="1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ht="15.75" customHeight="1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ht="15.75" customHeight="1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ht="15.75" customHeight="1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ht="15.75" customHeight="1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ht="15.75" customHeight="1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ht="15.75" customHeight="1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ht="15.75" customHeight="1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ht="15.75" customHeight="1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ht="15.75" customHeight="1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ht="15.75" customHeight="1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ht="15.75" customHeight="1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ht="15.75" customHeight="1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ht="15.75" customHeight="1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ht="15.75" customHeight="1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ht="15.75" customHeight="1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ht="15.75" customHeight="1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ht="15.75" customHeight="1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ht="15.75" customHeight="1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ht="15.75" customHeight="1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ht="15.75" customHeight="1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ht="15.75" customHeight="1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ht="15.75" customHeight="1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ht="15.75" customHeight="1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ht="15.75" customHeight="1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ht="15.75" customHeight="1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ht="15.75" customHeight="1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ht="15.75" customHeight="1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ht="15.75" customHeight="1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ht="15.75" customHeight="1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ht="15.75" customHeight="1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ht="15.75" customHeight="1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ht="15.75" customHeight="1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ht="15.75" customHeight="1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ht="15.75" customHeight="1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ht="15.75" customHeight="1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ht="15.75" customHeight="1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ht="15.75" customHeight="1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ht="15.75" customHeight="1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ht="15.75" customHeight="1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ht="15.75" customHeight="1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ht="15.75" customHeight="1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ht="15.75" customHeight="1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ht="15.75" customHeight="1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ht="15.75" customHeight="1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ht="15.75" customHeight="1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ht="15.75" customHeight="1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ht="15.75" customHeight="1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ht="15.75" customHeight="1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ht="15.75" customHeight="1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ht="15.75" customHeight="1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ht="15.75" customHeight="1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ht="15.75" customHeight="1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ht="15.75" customHeight="1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ht="15.75" customHeight="1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ht="15.75" customHeight="1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ht="15.75" customHeight="1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ht="15.75" customHeight="1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ht="15.75" customHeight="1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ht="15.75" customHeight="1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ht="15.75" customHeight="1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ht="15.75" customHeight="1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ht="15.75" customHeight="1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ht="15.75" customHeight="1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ht="15.75" customHeight="1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ht="15.75" customHeight="1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ht="15.75" customHeight="1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ht="15.75" customHeight="1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ht="15.75" customHeight="1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ht="15.75" customHeight="1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ht="15.75" customHeight="1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ht="15.75" customHeight="1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ht="15.75" customHeight="1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ht="15.75" customHeight="1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ht="15.75" customHeight="1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ht="15.75" customHeight="1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ht="15.75" customHeight="1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ht="15.75" customHeight="1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ht="15.75" customHeight="1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ht="15.75" customHeight="1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ht="15.75" customHeight="1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ht="15.75" customHeight="1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ht="15.75" customHeight="1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ht="15.75" customHeight="1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ht="15.75" customHeight="1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ht="15.75" customHeight="1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ht="15.75" customHeight="1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ht="15.75" customHeight="1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ht="15.75" customHeight="1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ht="15.75" customHeight="1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ht="15.75" customHeight="1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ht="15.75" customHeight="1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ht="15.75" customHeight="1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ht="15.75" customHeight="1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ht="15.75" customHeight="1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ht="15.75" customHeight="1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ht="15.75" customHeight="1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ht="15.75" customHeight="1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ht="15.75" customHeight="1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ht="15.75" customHeight="1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ht="15.75" customHeight="1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ht="15.75" customHeight="1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ht="15.75" customHeight="1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ht="15.75" customHeight="1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ht="15.75" customHeight="1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ht="15.75" customHeight="1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ht="15.75" customHeight="1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ht="15.75" customHeight="1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ht="15.75" customHeight="1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ht="15.75" customHeight="1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ht="15.75" customHeight="1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ht="15.75" customHeight="1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ht="15.75" customHeight="1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ht="15.75" customHeight="1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ht="15.75" customHeight="1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ht="15.75" customHeight="1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ht="15.75" customHeight="1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ht="15.75" customHeight="1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ht="15.75" customHeight="1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ht="15.75" customHeight="1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ht="15.75" customHeight="1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ht="15.75" customHeight="1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ht="15.75" customHeight="1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ht="15.75" customHeight="1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ht="15.75" customHeight="1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ht="15.75" customHeight="1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ht="15.75" customHeight="1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ht="15.75" customHeight="1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ht="15.75" customHeight="1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ht="15.75" customHeight="1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ht="15.75" customHeight="1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ht="15.75" customHeight="1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ht="15.75" customHeight="1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ht="15.75" customHeight="1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ht="15.75" customHeight="1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ht="15.75" customHeight="1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ht="15.75" customHeight="1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ht="15.75" customHeight="1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ht="15.75" customHeight="1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</sheetData>
  <mergeCells count="1">
    <mergeCell ref="A1:F1"/>
  </mergeCells>
  <dataValidations>
    <dataValidation type="list" allowBlank="1" sqref="B12:B50">
      <formula1>"Scotiabank,BBVA,Santander"</formula1>
    </dataValidation>
  </dataValidations>
  <printOptions/>
  <pageMargins bottom="0.75" footer="0.0" header="0.0" left="0.7" right="0.7" top="0.75"/>
  <pageSetup orientation="landscape"/>
  <drawing r:id="rId1"/>
</worksheet>
</file>