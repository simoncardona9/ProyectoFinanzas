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figuración" sheetId="1" r:id="rId4"/>
    <sheet state="visible" name="Dashboard" sheetId="2" r:id="rId5"/>
    <sheet state="visible" name="Caja" sheetId="3" r:id="rId6"/>
    <sheet state="visible" name="Responsabilidades" sheetId="4" r:id="rId7"/>
    <sheet state="visible" name="Deudas USD" sheetId="5" r:id="rId8"/>
    <sheet state="visible" name="Facturación" sheetId="6" r:id="rId9"/>
    <sheet state="visible" name="Histórico" sheetId="7" r:id="rId10"/>
  </sheets>
  <definedNames/>
  <calcPr/>
  <extLst>
    <ext uri="GoogleSheetsCustomDataVersion2">
      <go:sheetsCustomData xmlns:go="http://customooxmlschemas.google.com/" r:id="rId11" roundtripDataChecksum="Suj8KUO57qEE20QAk2hmBWrMpo0aCz1rRrvlkCv1H74="/>
    </ext>
  </extLst>
</workbook>
</file>

<file path=xl/sharedStrings.xml><?xml version="1.0" encoding="utf-8"?>
<sst xmlns="http://schemas.openxmlformats.org/spreadsheetml/2006/main" count="536" uniqueCount="184">
  <si>
    <t>Caja disponible del mes</t>
  </si>
  <si>
    <t>Dashboard financiero familiar — Agosto 2026</t>
  </si>
  <si>
    <t>Configuración — Agosto 2026</t>
  </si>
  <si>
    <t>Flujo de caja UYU</t>
  </si>
  <si>
    <t>Parámetro</t>
  </si>
  <si>
    <t>Valor</t>
  </si>
  <si>
    <t>Monto</t>
  </si>
  <si>
    <t>Cotización USD → UYU</t>
  </si>
  <si>
    <t>IVA / DELTA</t>
  </si>
  <si>
    <t>Estado</t>
  </si>
  <si>
    <t>Fecha</t>
  </si>
  <si>
    <t>Deudas USD</t>
  </si>
  <si>
    <t>Responsabilidades del mes — UYU</t>
  </si>
  <si>
    <t>Saldo</t>
  </si>
  <si>
    <t>Fuente</t>
  </si>
  <si>
    <t>Ingresos cobrados</t>
  </si>
  <si>
    <t>Concepto</t>
  </si>
  <si>
    <t>Moneda</t>
  </si>
  <si>
    <t>Disponible para gastar</t>
  </si>
  <si>
    <t>Monto UYU utilizable</t>
  </si>
  <si>
    <t>Observaciones</t>
  </si>
  <si>
    <t>Mes</t>
  </si>
  <si>
    <t>IVA</t>
  </si>
  <si>
    <t>Cobrado</t>
  </si>
  <si>
    <t>Categoría</t>
  </si>
  <si>
    <t>Agosto 2026</t>
  </si>
  <si>
    <t>Descripción</t>
  </si>
  <si>
    <t>USD de DualBoot a convertir</t>
  </si>
  <si>
    <t>TEC</t>
  </si>
  <si>
    <t>Nota</t>
  </si>
  <si>
    <t>Sueldo TEC + remanente de cuenta</t>
  </si>
  <si>
    <t>Los otros USD se mantienen separados salvo decisión explícita.</t>
  </si>
  <si>
    <t>Prioridad</t>
  </si>
  <si>
    <t>Tipo</t>
  </si>
  <si>
    <t>UYU</t>
  </si>
  <si>
    <t>IVA de clases cobradas</t>
  </si>
  <si>
    <t>Cuenta / medio</t>
  </si>
  <si>
    <t>Monto pendiente</t>
  </si>
  <si>
    <t>Sí</t>
  </si>
  <si>
    <t>✅ Pagado</t>
  </si>
  <si>
    <t>Scotiabank</t>
  </si>
  <si>
    <t>Impuestos municipales</t>
  </si>
  <si>
    <t>Intendencia</t>
  </si>
  <si>
    <t>Alta</t>
  </si>
  <si>
    <t>Obligatorio</t>
  </si>
  <si>
    <t>Agosto</t>
  </si>
  <si>
    <t>Gastos ya pagados</t>
  </si>
  <si>
    <t>Familia</t>
  </si>
  <si>
    <t>Regalo Tía Norma</t>
  </si>
  <si>
    <t>IVA de clases pendientes / programadas</t>
  </si>
  <si>
    <t>Servicios</t>
  </si>
  <si>
    <t>UTE</t>
  </si>
  <si>
    <t>BBVA</t>
  </si>
  <si>
    <t>Caja real hoy</t>
  </si>
  <si>
    <t>OSE</t>
  </si>
  <si>
    <t>Regalo Abuelo Carlos</t>
  </si>
  <si>
    <t>IVA ya enviado a DELTA</t>
  </si>
  <si>
    <t>Gastos bancarios</t>
  </si>
  <si>
    <t>Tasa prestación social</t>
  </si>
  <si>
    <t>Santander</t>
  </si>
  <si>
    <t>Tasa contralor</t>
  </si>
  <si>
    <t>Pendiente</t>
  </si>
  <si>
    <t>Ingresos pendientes / programados</t>
  </si>
  <si>
    <t>Abuela Tati</t>
  </si>
  <si>
    <t>Tarjetas</t>
  </si>
  <si>
    <t>OCA</t>
  </si>
  <si>
    <t>Deuda IVA anterior</t>
  </si>
  <si>
    <t>Total pendiente</t>
  </si>
  <si>
    <t>Scotiabank UYU</t>
  </si>
  <si>
    <t>Caja proyectada</t>
  </si>
  <si>
    <t>Actividades</t>
  </si>
  <si>
    <t>Clases</t>
  </si>
  <si>
    <t>Natación</t>
  </si>
  <si>
    <t>Responsabilidades pendientes del mes</t>
  </si>
  <si>
    <t>Remanente Miguel + Flavia</t>
  </si>
  <si>
    <t>Deudas de tarjetas en USD</t>
  </si>
  <si>
    <t>Media</t>
  </si>
  <si>
    <t>Postergable</t>
  </si>
  <si>
    <t>Tarjeta</t>
  </si>
  <si>
    <t>Deuda inicial USD</t>
  </si>
  <si>
    <t>Pagado acumulado USD</t>
  </si>
  <si>
    <t>Kung Fu</t>
  </si>
  <si>
    <t>Saldo pendiente USD</t>
  </si>
  <si>
    <t>Compromisos trasladados</t>
  </si>
  <si>
    <t>Sin club de pelea; torneo interno aparte</t>
  </si>
  <si>
    <t>Resultado proyectado del mes</t>
  </si>
  <si>
    <t>Educación</t>
  </si>
  <si>
    <t>Kali</t>
  </si>
  <si>
    <t>Deuda para próximo mes</t>
  </si>
  <si>
    <t>Dominique</t>
  </si>
  <si>
    <t>3 clases × $830</t>
  </si>
  <si>
    <t>➖ No corresponde</t>
  </si>
  <si>
    <t>Pilates</t>
  </si>
  <si>
    <t>Baja</t>
  </si>
  <si>
    <t>Discrecional</t>
  </si>
  <si>
    <t>Kelsey</t>
  </si>
  <si>
    <t>2 clases × $830</t>
  </si>
  <si>
    <t>En cuotas</t>
  </si>
  <si>
    <t>Registrar pagos parciales abajo</t>
  </si>
  <si>
    <t>Cantidad de compromisos</t>
  </si>
  <si>
    <t>Caja real = ingresos efectivamente cobrados − pagos ya realizados. El forecast suma sólo ingresos pendientes/programados y resta sólo obligaciones que siguen pendientes este mes.</t>
  </si>
  <si>
    <t>Contadora</t>
  </si>
  <si>
    <t>Mariam</t>
  </si>
  <si>
    <t>Pagada</t>
  </si>
  <si>
    <t>Alexandra</t>
  </si>
  <si>
    <t>Pago total ya realizado</t>
  </si>
  <si>
    <t>Totales</t>
  </si>
  <si>
    <t>➡️ Pasa a próximo mes</t>
  </si>
  <si>
    <t>Aportes</t>
  </si>
  <si>
    <t>Portuarios</t>
  </si>
  <si>
    <t>Daniela y Jorge</t>
  </si>
  <si>
    <t>3 clases × $2.013</t>
  </si>
  <si>
    <t>Pago USD</t>
  </si>
  <si>
    <t>Cotización</t>
  </si>
  <si>
    <t>Equivalente UYU</t>
  </si>
  <si>
    <t>Terapia</t>
  </si>
  <si>
    <t>Yamile</t>
  </si>
  <si>
    <t>Pago total</t>
  </si>
  <si>
    <t>DualBoot</t>
  </si>
  <si>
    <t>Sueldo DB</t>
  </si>
  <si>
    <t>USD</t>
  </si>
  <si>
    <t>Suscripciones</t>
  </si>
  <si>
    <t>Fixed</t>
  </si>
  <si>
    <t>Pago parcial</t>
  </si>
  <si>
    <t>⏳ Pendiente</t>
  </si>
  <si>
    <t>No</t>
  </si>
  <si>
    <t>Contribución Fondo Bahái</t>
  </si>
  <si>
    <t>AEN + viaje a Bolivia</t>
  </si>
  <si>
    <t xml:space="preserve">Anand y Gaby </t>
  </si>
  <si>
    <t>Bajé $1050</t>
  </si>
  <si>
    <t>Impuestos</t>
  </si>
  <si>
    <t>DELTA para pagar DGI en setiembre</t>
  </si>
  <si>
    <t>Reserva; no usar
$8039</t>
  </si>
  <si>
    <t>Salarios</t>
  </si>
  <si>
    <t>Lizet — salario vacacional</t>
  </si>
  <si>
    <t>Tati — salario vacacional</t>
  </si>
  <si>
    <t>Tati — salario julio 2026</t>
  </si>
  <si>
    <t>Salud</t>
  </si>
  <si>
    <t>Summum</t>
  </si>
  <si>
    <t>Préstamos</t>
  </si>
  <si>
    <t>Préstamo amortizable</t>
  </si>
  <si>
    <t>Facturación de clases e IVA</t>
  </si>
  <si>
    <t>Alumno</t>
  </si>
  <si>
    <t>Cantidad</t>
  </si>
  <si>
    <t>Precio unitario</t>
  </si>
  <si>
    <t>Bruto</t>
  </si>
  <si>
    <t>Base sin IVA</t>
  </si>
  <si>
    <t>Mes de prestación</t>
  </si>
  <si>
    <t>Enviado a DELTA</t>
  </si>
  <si>
    <t>IVA pendiente DELTA</t>
  </si>
  <si>
    <t>Miguel</t>
  </si>
  <si>
    <t>BBVA UYU</t>
  </si>
  <si>
    <t>Santander — pago tarjeta UYU</t>
  </si>
  <si>
    <t>Factura pendiente</t>
  </si>
  <si>
    <t>Flavia</t>
  </si>
  <si>
    <t>Contribución terreno Abuela</t>
  </si>
  <si>
    <t>Julio</t>
  </si>
  <si>
    <t>Contribución casa Pinamar</t>
  </si>
  <si>
    <t>A mes vencido</t>
  </si>
  <si>
    <t>Seguros</t>
  </si>
  <si>
    <t>Zurich Santander (PAC Débito)</t>
  </si>
  <si>
    <t>Factura enviada</t>
  </si>
  <si>
    <t>BPS Tati (Tarjeta Santander)</t>
  </si>
  <si>
    <t>FONASA (Tarjeta Santander)</t>
  </si>
  <si>
    <t>Ago/Set</t>
  </si>
  <si>
    <t>Anand y Gaby</t>
  </si>
  <si>
    <t>BPS Lu (Tarjeta Santander)</t>
  </si>
  <si>
    <t>Tasa contralor (ajuste julio)</t>
  </si>
  <si>
    <t>Comisión caja de ahorros</t>
  </si>
  <si>
    <t>Aportes profesionales</t>
  </si>
  <si>
    <t>Caja de Profesionales</t>
  </si>
  <si>
    <t>Comisión cuenta corriente</t>
  </si>
  <si>
    <t>Lizet — salario jornal</t>
  </si>
  <si>
    <t>Lizet — salario jornal 15/8</t>
  </si>
  <si>
    <t>Lizet — salario jornal 22/8</t>
  </si>
  <si>
    <t>Lizet — salario jornal 29/8</t>
  </si>
  <si>
    <t>Histórico mensual</t>
  </si>
  <si>
    <t>Caja disponible UYU</t>
  </si>
  <si>
    <t>Responsabilidades UYU</t>
  </si>
  <si>
    <t>Cargo por traspaso cuenta combinada</t>
  </si>
  <si>
    <t>Saldo operativo</t>
  </si>
  <si>
    <t>IVA pendiente</t>
  </si>
  <si>
    <t>Deuda USD pendiente</t>
  </si>
  <si>
    <t>Agua - bidones y sifones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</si>
</sst>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$0.00"/>
    <numFmt numFmtId="165" formatCode="&quot;USD &quot;#,##0.00;[Red](&quot;USD &quot;#,##0.00);-"/>
    <numFmt numFmtId="166" formatCode="dd/mm/yyyy"/>
    <numFmt numFmtId="167" formatCode="$#,##0.00;[Red]($#,##0.00);-"/>
    <numFmt numFmtId="168" formatCode="&quot;$&quot;#,##0"/>
  </numFmts>
  <fonts count="11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color theme="1"/>
      <name val="Carlito"/>
    </font>
    <font>
      <sz val="11.0"/>
      <color rgb="FF0000FF"/>
      <name val="Carlito"/>
    </font>
    <font>
      <sz val="11.0"/>
      <color theme="1"/>
      <name val="Carlito"/>
    </font>
    <font>
      <color theme="1"/>
      <name val="Carlito"/>
      <scheme val="minor"/>
    </font>
    <font>
      <sz val="11.0"/>
      <color rgb="FF000000"/>
      <name val="Carlito"/>
    </font>
    <font>
      <b/>
      <sz val="11.0"/>
      <color rgb="FF000000"/>
      <name val="Carlito"/>
    </font>
    <font>
      <b/>
      <sz val="11.0"/>
      <color theme="1"/>
      <name val="Carlito"/>
    </font>
    <font>
      <sz val="11.0"/>
      <color rgb="FFFFFFFF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2F75B5"/>
        <bgColor rgb="FF2F75B5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  <fill>
      <patternFill patternType="solid">
        <fgColor rgb="FFFF0000"/>
        <bgColor rgb="FFFF0000"/>
      </patternFill>
    </fill>
    <fill>
      <patternFill patternType="solid">
        <fgColor rgb="FFD9EAF7"/>
        <bgColor rgb="FFD9EAF7"/>
      </patternFill>
    </fill>
  </fills>
  <borders count="2">
    <border/>
    <border>
      <top style="thin">
        <color rgb="FF17324D"/>
      </top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Font="1"/>
    <xf borderId="0" fillId="4" fontId="4" numFmtId="164" xfId="0" applyFill="1" applyFont="1" applyNumberFormat="1"/>
    <xf borderId="0" fillId="4" fontId="4" numFmtId="10" xfId="0" applyFont="1" applyNumberFormat="1"/>
    <xf borderId="0" fillId="0" fontId="5" numFmtId="0" xfId="0" applyAlignment="1" applyFont="1">
      <alignment shrinkToFit="0" vertical="center" wrapText="1"/>
    </xf>
    <xf borderId="0" fillId="4" fontId="4" numFmtId="165" xfId="0" applyFont="1" applyNumberFormat="1"/>
    <xf borderId="0" fillId="0" fontId="5" numFmtId="166" xfId="0" applyAlignment="1" applyFont="1" applyNumberFormat="1">
      <alignment shrinkToFit="0" vertical="center" wrapText="1"/>
    </xf>
    <xf borderId="0" fillId="0" fontId="5" numFmtId="167" xfId="0" applyFont="1" applyNumberFormat="1"/>
    <xf borderId="0" fillId="0" fontId="5" numFmtId="4" xfId="0" applyAlignment="1" applyFont="1" applyNumberFormat="1">
      <alignment shrinkToFit="0" vertical="center" wrapText="1"/>
    </xf>
    <xf borderId="0" fillId="0" fontId="5" numFmtId="167" xfId="0" applyAlignment="1" applyFont="1" applyNumberFormat="1">
      <alignment shrinkToFit="0" vertical="center" wrapText="1"/>
    </xf>
    <xf borderId="0" fillId="0" fontId="5" numFmtId="165" xfId="0" applyFont="1" applyNumberFormat="1"/>
    <xf borderId="0" fillId="0" fontId="6" numFmtId="0" xfId="0" applyFont="1"/>
    <xf borderId="0" fillId="0" fontId="7" numFmtId="167" xfId="0" applyAlignment="1" applyFont="1" applyNumberFormat="1">
      <alignment shrinkToFit="0" vertical="bottom" wrapText="0"/>
    </xf>
    <xf borderId="0" fillId="3" fontId="2" numFmtId="0" xfId="0" applyAlignment="1" applyFont="1">
      <alignment horizontal="center" shrinkToFit="0" vertical="bottom" wrapText="0"/>
    </xf>
    <xf borderId="0" fillId="5" fontId="8" numFmtId="0" xfId="0" applyAlignment="1" applyFill="1" applyFont="1">
      <alignment shrinkToFit="0" vertical="bottom" wrapText="0"/>
    </xf>
    <xf borderId="0" fillId="5" fontId="8" numFmtId="167" xfId="0" applyAlignment="1" applyFont="1" applyNumberFormat="1">
      <alignment shrinkToFit="0" vertical="bottom" wrapText="0"/>
    </xf>
    <xf borderId="0" fillId="6" fontId="7" numFmtId="0" xfId="0" applyAlignment="1" applyFill="1" applyFont="1">
      <alignment shrinkToFit="0" vertical="bottom" wrapText="0"/>
    </xf>
    <xf borderId="0" fillId="7" fontId="5" numFmtId="0" xfId="0" applyAlignment="1" applyFill="1" applyFont="1">
      <alignment shrinkToFit="0" vertical="center" wrapText="1"/>
    </xf>
    <xf borderId="0" fillId="7" fontId="5" numFmtId="166" xfId="0" applyAlignment="1" applyFont="1" applyNumberFormat="1">
      <alignment shrinkToFit="0" vertical="center" wrapText="1"/>
    </xf>
    <xf borderId="0" fillId="7" fontId="5" numFmtId="167" xfId="0" applyAlignment="1" applyFont="1" applyNumberFormat="1">
      <alignment shrinkToFit="0" vertical="center" wrapText="1"/>
    </xf>
    <xf borderId="0" fillId="0" fontId="5" numFmtId="0" xfId="0" applyAlignment="1" applyFont="1">
      <alignment readingOrder="0" shrinkToFit="0" vertical="center" wrapText="1"/>
    </xf>
    <xf borderId="0" fillId="7" fontId="3" numFmtId="0" xfId="0" applyFont="1"/>
    <xf borderId="0" fillId="6" fontId="7" numFmtId="167" xfId="0" applyAlignment="1" applyFont="1" applyNumberFormat="1">
      <alignment shrinkToFit="0" vertical="bottom" wrapText="0"/>
    </xf>
    <xf borderId="0" fillId="8" fontId="5" numFmtId="0" xfId="0" applyAlignment="1" applyFill="1" applyFont="1">
      <alignment shrinkToFit="0" vertical="top" wrapText="1"/>
    </xf>
    <xf borderId="1" fillId="8" fontId="9" numFmtId="0" xfId="0" applyBorder="1" applyFont="1"/>
    <xf borderId="0" fillId="7" fontId="10" numFmtId="0" xfId="0" applyAlignment="1" applyFont="1">
      <alignment shrinkToFit="0" vertical="center" wrapText="1"/>
    </xf>
    <xf borderId="1" fillId="8" fontId="9" numFmtId="165" xfId="0" applyBorder="1" applyFont="1" applyNumberFormat="1"/>
    <xf borderId="0" fillId="7" fontId="5" numFmtId="168" xfId="0" applyAlignment="1" applyFont="1" applyNumberFormat="1">
      <alignment shrinkToFit="0" vertical="center" wrapText="1"/>
    </xf>
    <xf borderId="0" fillId="0" fontId="5" numFmtId="166" xfId="0" applyFont="1" applyNumberFormat="1"/>
    <xf borderId="0" fillId="0" fontId="5" numFmtId="164" xfId="0" applyFont="1" applyNumberFormat="1"/>
    <xf borderId="0" fillId="0" fontId="3" numFmtId="4" xfId="0" applyFont="1" applyNumberFormat="1"/>
    <xf borderId="0" fillId="0" fontId="9" numFmtId="0" xfId="0" applyAlignment="1" applyFont="1">
      <alignment shrinkToFit="0" vertical="center" wrapText="1"/>
    </xf>
    <xf borderId="0" fillId="0" fontId="5" numFmtId="166" xfId="0" applyAlignment="1" applyFont="1" applyNumberFormat="1">
      <alignment readingOrder="0" shrinkToFit="0" vertical="center" wrapText="1"/>
    </xf>
    <xf borderId="0" fillId="0" fontId="5" numFmtId="167" xfId="0" applyAlignment="1" applyFont="1" applyNumberFormat="1">
      <alignment readingOrder="0" shrinkToFit="0" vertical="center" wrapText="1"/>
    </xf>
  </cellXfs>
  <cellStyles count="1">
    <cellStyle xfId="0" name="Normal" builtinId="0"/>
  </cellStyles>
  <dxfs count="9">
    <dxf>
      <font>
        <b/>
      </font>
      <fill>
        <patternFill patternType="solid">
          <fgColor rgb="FFE2F0D9"/>
          <bgColor rgb="FFE2F0D9"/>
        </patternFill>
      </fill>
      <border/>
    </dxf>
    <dxf>
      <font>
        <b/>
        <color rgb="FFC00000"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>
        <color rgb="FF595959"/>
      </font>
      <fill>
        <patternFill patternType="solid">
          <fgColor rgb="FFE2F0D9"/>
          <bgColor rgb="FFE2F0D9"/>
        </patternFill>
      </fill>
      <border/>
    </dxf>
    <dxf>
      <font>
        <color rgb="FFC00000"/>
      </font>
      <fill>
        <patternFill patternType="solid">
          <fgColor rgb="FFFCE4D6"/>
          <bgColor rgb="FFFCE4D6"/>
        </patternFill>
      </fill>
      <border/>
    </dxf>
    <dxf>
      <font>
        <color theme="0"/>
      </font>
      <fill>
        <patternFill patternType="solid">
          <fgColor rgb="FF434343"/>
          <bgColor rgb="FF434343"/>
        </patternFill>
      </fill>
      <border/>
    </dxf>
    <dxf>
      <font>
        <b/>
        <color theme="0"/>
      </font>
      <fill>
        <patternFill patternType="solid">
          <fgColor rgb="FF9900FF"/>
          <bgColor rgb="FF9900FF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38.0"/>
    <col customWidth="1" min="3" max="6" width="8.63"/>
  </cols>
  <sheetData>
    <row r="1" ht="30.0" customHeight="1">
      <c r="A1" s="1" t="s">
        <v>2</v>
      </c>
    </row>
    <row r="3">
      <c r="A3" s="2" t="s">
        <v>4</v>
      </c>
      <c r="B3" s="2" t="s">
        <v>5</v>
      </c>
    </row>
    <row r="4">
      <c r="A4" s="3" t="s">
        <v>7</v>
      </c>
      <c r="B4" s="4">
        <v>39.0</v>
      </c>
    </row>
    <row r="5">
      <c r="A5" s="3" t="s">
        <v>22</v>
      </c>
      <c r="B5" s="5">
        <v>0.22</v>
      </c>
    </row>
    <row r="6">
      <c r="A6" s="3" t="s">
        <v>21</v>
      </c>
      <c r="B6" s="7" t="s">
        <v>25</v>
      </c>
    </row>
    <row r="7">
      <c r="A7" s="3" t="s">
        <v>27</v>
      </c>
      <c r="B7" s="3">
        <v>4400.0</v>
      </c>
    </row>
    <row r="8">
      <c r="A8" s="3" t="s">
        <v>29</v>
      </c>
      <c r="B8" s="3" t="s">
        <v>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0"/>
    <col customWidth="1" min="2" max="2" width="18.0"/>
    <col customWidth="1" min="3" max="3" width="8.63"/>
    <col customWidth="1" min="4" max="4" width="34.0"/>
    <col customWidth="1" min="5" max="5" width="20.0"/>
    <col customWidth="1" min="6" max="6" width="8.63"/>
    <col customWidth="1" min="7" max="7" width="18.0"/>
    <col customWidth="1" min="8" max="8" width="17.0"/>
  </cols>
  <sheetData>
    <row r="1" ht="30.0" customHeight="1">
      <c r="A1" s="1" t="s">
        <v>1</v>
      </c>
    </row>
    <row r="3">
      <c r="A3" s="2" t="s">
        <v>3</v>
      </c>
      <c r="B3" s="2" t="s">
        <v>6</v>
      </c>
      <c r="D3" s="2" t="s">
        <v>8</v>
      </c>
      <c r="E3" s="2" t="s">
        <v>6</v>
      </c>
      <c r="G3" s="2" t="s">
        <v>11</v>
      </c>
      <c r="H3" s="2" t="s">
        <v>13</v>
      </c>
    </row>
    <row r="4">
      <c r="A4" s="3" t="s">
        <v>15</v>
      </c>
      <c r="B4" s="9">
        <f>SUMIFS(Caja!$H$4:$H$15,Caja!$A$4:$A$15,"Cobrado")</f>
        <v>242519</v>
      </c>
      <c r="D4" s="3" t="s">
        <v>35</v>
      </c>
      <c r="E4" s="9">
        <f>SUMIFS('Facturación'!$G$4:$G$11,'Facturación'!$A$4:$A$11,"Cobrado",'Facturación'!$B$4:$B$11,"&lt;&gt;TEC")</f>
        <v>3034.737705</v>
      </c>
      <c r="G4" s="3" t="s">
        <v>40</v>
      </c>
      <c r="H4" s="12">
        <f>'Deudas USD'!D4</f>
        <v>1833.17</v>
      </c>
    </row>
    <row r="5">
      <c r="A5" s="3" t="s">
        <v>46</v>
      </c>
      <c r="B5" s="9">
        <f>SUMIFS(Responsabilidades!$F$4:$F$48,Responsabilidades!$A$4:$A$48,"✅ Pagado")</f>
        <v>186357.08</v>
      </c>
      <c r="D5" s="3" t="s">
        <v>49</v>
      </c>
      <c r="E5" s="9">
        <f>SUMIFS('Facturación'!$G$4:$G$11,'Facturación'!$A$4:$A$11,"Pendiente",'Facturación'!$B$4:$B$11,"&lt;&gt;TEC")+SUMIFS('Facturación'!$G$4:$G$11,'Facturación'!$A$4:$A$11,"Programado",'Facturación'!$B$4:$B$11,"&lt;&gt;TEC")</f>
        <v>1567.04918</v>
      </c>
      <c r="G5" s="3" t="s">
        <v>52</v>
      </c>
      <c r="H5" s="12">
        <f>'Deudas USD'!D5</f>
        <v>590.83</v>
      </c>
    </row>
    <row r="6">
      <c r="A6" s="3" t="s">
        <v>53</v>
      </c>
      <c r="B6" s="9">
        <f>B4-B5</f>
        <v>56161.92</v>
      </c>
      <c r="D6" s="3" t="s">
        <v>56</v>
      </c>
      <c r="E6" s="9">
        <f>SUMIFS('Facturación'!$G$4:$G$11,'Facturación'!$I$4:$I$11,"Sí",'Facturación'!$B$4:$B$11,"&lt;&gt;TEC")</f>
        <v>0</v>
      </c>
      <c r="G6" s="3" t="s">
        <v>59</v>
      </c>
      <c r="H6" s="12">
        <f>'Deudas USD'!D6</f>
        <v>0</v>
      </c>
    </row>
    <row r="7">
      <c r="A7" s="3" t="s">
        <v>62</v>
      </c>
      <c r="B7" s="9">
        <f>SUMIFS(Caja!$H$4:$H$15,Caja!$A$4:$A$15,"Pendiente")+SUMIFS(Caja!$H$4:$H$15,Caja!$A$4:$A$15,"Programado")</f>
        <v>35880</v>
      </c>
      <c r="D7" s="3" t="s">
        <v>66</v>
      </c>
      <c r="E7" s="9">
        <v>15033.0</v>
      </c>
      <c r="G7" s="3" t="s">
        <v>67</v>
      </c>
      <c r="H7" s="12">
        <f>'Deudas USD'!D8</f>
        <v>2424</v>
      </c>
    </row>
    <row r="8">
      <c r="A8" s="3" t="s">
        <v>69</v>
      </c>
      <c r="B8" s="9">
        <f>B6+B7</f>
        <v>92041.92</v>
      </c>
      <c r="D8" s="3"/>
      <c r="E8" s="9"/>
    </row>
    <row r="9">
      <c r="A9" s="13" t="s">
        <v>73</v>
      </c>
      <c r="B9" s="14">
        <f>SUMIFS(Responsabilidades!$F$4:$F$48,Responsabilidades!$A$4:$A$48,"⏳ Pendiente")</f>
        <v>91508.85</v>
      </c>
      <c r="D9" s="15" t="s">
        <v>83</v>
      </c>
      <c r="E9" s="15" t="s">
        <v>6</v>
      </c>
    </row>
    <row r="10">
      <c r="A10" s="16" t="s">
        <v>85</v>
      </c>
      <c r="B10" s="17">
        <f>B8-B9</f>
        <v>533.07</v>
      </c>
      <c r="D10" s="18" t="s">
        <v>88</v>
      </c>
      <c r="E10" s="24">
        <f>SUMIFS(Responsabilidades!$F$4:$F$48,Responsabilidades!$A$4:$A$48,"➡️ Pasa a próximo mes")</f>
        <v>10899</v>
      </c>
    </row>
    <row r="11">
      <c r="A11" s="18" t="s">
        <v>99</v>
      </c>
    </row>
    <row r="12">
      <c r="A12" s="25" t="s">
        <v>100</v>
      </c>
    </row>
    <row r="15">
      <c r="B15" s="13">
        <f>36788.54+15392.7</f>
        <v>52181.24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11:H11"/>
    <mergeCell ref="A12:C12"/>
  </mergeCells>
  <conditionalFormatting sqref="A8:B8">
    <cfRule type="expression" dxfId="0" priority="1">
      <formula>$B8&gt;=0</formula>
    </cfRule>
  </conditionalFormatting>
  <conditionalFormatting sqref="A8:B8">
    <cfRule type="expression" dxfId="1" priority="2">
      <formula>$B8&lt;0</formula>
    </cfRule>
  </conditionalFormatting>
  <conditionalFormatting sqref="D8:E8">
    <cfRule type="expression" dxfId="0" priority="3">
      <formula>$E8&gt;=0</formula>
    </cfRule>
  </conditionalFormatting>
  <conditionalFormatting sqref="D8:E8">
    <cfRule type="expression" dxfId="1" priority="4">
      <formula>$E8&lt;0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2.0"/>
    <col customWidth="1" min="3" max="3" width="18.0"/>
    <col customWidth="1" min="4" max="4" width="34.0"/>
    <col customWidth="1" min="5" max="5" width="10.0"/>
    <col customWidth="1" min="6" max="6" width="14.0"/>
    <col customWidth="1" min="7" max="8" width="18.0"/>
    <col customWidth="1" min="9" max="9" width="38.0"/>
    <col customWidth="1" min="10" max="10" width="12.0"/>
  </cols>
  <sheetData>
    <row r="1" ht="30.0" customHeight="1">
      <c r="A1" s="1" t="s">
        <v>0</v>
      </c>
    </row>
    <row r="3">
      <c r="A3" s="2" t="s">
        <v>9</v>
      </c>
      <c r="B3" s="2" t="s">
        <v>10</v>
      </c>
      <c r="C3" s="2" t="s">
        <v>14</v>
      </c>
      <c r="D3" s="2" t="s">
        <v>16</v>
      </c>
      <c r="E3" s="2" t="s">
        <v>17</v>
      </c>
      <c r="F3" s="2" t="s">
        <v>6</v>
      </c>
      <c r="G3" s="2" t="s">
        <v>18</v>
      </c>
      <c r="H3" s="2" t="s">
        <v>19</v>
      </c>
      <c r="I3" s="2" t="s">
        <v>20</v>
      </c>
      <c r="J3" s="2" t="s">
        <v>21</v>
      </c>
    </row>
    <row r="4">
      <c r="A4" s="6" t="s">
        <v>23</v>
      </c>
      <c r="B4" s="8"/>
      <c r="C4" s="6" t="s">
        <v>28</v>
      </c>
      <c r="D4" s="6" t="s">
        <v>30</v>
      </c>
      <c r="E4" s="6" t="s">
        <v>34</v>
      </c>
      <c r="F4" s="10">
        <v>45190.0</v>
      </c>
      <c r="G4" s="6" t="s">
        <v>38</v>
      </c>
      <c r="H4" s="11">
        <f>IF(G4&lt;&gt;"Sí",0,IF(E4="UYU",F4,IF(C4="DualBoot",F4*'Configuración'!$B$4,0)))</f>
        <v>45190</v>
      </c>
      <c r="I4" s="6" t="s">
        <v>45</v>
      </c>
      <c r="J4" s="6"/>
    </row>
    <row r="5">
      <c r="A5" s="6" t="s">
        <v>23</v>
      </c>
      <c r="B5" s="8"/>
      <c r="C5" s="6" t="s">
        <v>47</v>
      </c>
      <c r="D5" s="6" t="s">
        <v>48</v>
      </c>
      <c r="E5" s="6" t="s">
        <v>34</v>
      </c>
      <c r="F5" s="10">
        <v>10000.0</v>
      </c>
      <c r="G5" s="6" t="s">
        <v>38</v>
      </c>
      <c r="H5" s="11">
        <f>IF(G5&lt;&gt;"Sí",0,IF(E5="UYU",F5,IF(C5="DualBoot",F5*'Configuración'!$B$4,0)))</f>
        <v>10000</v>
      </c>
      <c r="I5" s="6" t="s">
        <v>45</v>
      </c>
      <c r="J5" s="6"/>
    </row>
    <row r="6">
      <c r="A6" s="6" t="s">
        <v>23</v>
      </c>
      <c r="B6" s="8"/>
      <c r="C6" s="6" t="s">
        <v>47</v>
      </c>
      <c r="D6" s="6" t="s">
        <v>55</v>
      </c>
      <c r="E6" s="6" t="s">
        <v>34</v>
      </c>
      <c r="F6" s="10">
        <v>2000.0</v>
      </c>
      <c r="G6" s="6" t="s">
        <v>38</v>
      </c>
      <c r="H6" s="11">
        <f>IF(G6&lt;&gt;"Sí",0,IF(E6="UYU",F6,IF(C6="DualBoot",F6*'Configuración'!$B$4,0)))</f>
        <v>2000</v>
      </c>
      <c r="I6" s="6" t="s">
        <v>45</v>
      </c>
      <c r="J6" s="6"/>
    </row>
    <row r="7">
      <c r="A7" s="6" t="s">
        <v>61</v>
      </c>
      <c r="B7" s="8"/>
      <c r="C7" s="6" t="s">
        <v>47</v>
      </c>
      <c r="D7" s="6" t="s">
        <v>63</v>
      </c>
      <c r="E7" s="6" t="s">
        <v>34</v>
      </c>
      <c r="F7" s="10">
        <v>27190.0</v>
      </c>
      <c r="G7" s="6" t="s">
        <v>38</v>
      </c>
      <c r="H7" s="11">
        <f>IF(G7&lt;&gt;"Sí",0,IF(E7="UYU",F7,IF(C7="DualBoot",F7*'Configuración'!$B$4,0)))</f>
        <v>27190</v>
      </c>
      <c r="I7" s="6" t="s">
        <v>45</v>
      </c>
      <c r="J7" s="6"/>
    </row>
    <row r="8">
      <c r="A8" s="6" t="s">
        <v>23</v>
      </c>
      <c r="B8" s="8"/>
      <c r="C8" s="6" t="s">
        <v>71</v>
      </c>
      <c r="D8" s="6" t="s">
        <v>74</v>
      </c>
      <c r="E8" s="6" t="s">
        <v>34</v>
      </c>
      <c r="F8" s="10">
        <v>3540.0</v>
      </c>
      <c r="G8" s="6" t="s">
        <v>38</v>
      </c>
      <c r="H8" s="11">
        <f>IF(G8&lt;&gt;"Sí",0,IF(E8="UYU",F8,IF(C8="DualBoot",F8*'Configuración'!$B$4,0)))</f>
        <v>3540</v>
      </c>
      <c r="I8" s="6" t="s">
        <v>45</v>
      </c>
      <c r="J8" s="6"/>
    </row>
    <row r="9">
      <c r="A9" s="6" t="s">
        <v>61</v>
      </c>
      <c r="B9" s="8"/>
      <c r="C9" s="6" t="s">
        <v>89</v>
      </c>
      <c r="D9" s="6" t="s">
        <v>90</v>
      </c>
      <c r="E9" s="6" t="s">
        <v>34</v>
      </c>
      <c r="F9" s="10">
        <v>2490.0</v>
      </c>
      <c r="G9" s="6" t="s">
        <v>38</v>
      </c>
      <c r="H9" s="11">
        <f>IF(G9&lt;&gt;"Sí",0,IF(E9="UYU",F9,IF(C9="DualBoot",F9*'Configuración'!$B$4,0)))</f>
        <v>2490</v>
      </c>
      <c r="I9" s="6" t="s">
        <v>45</v>
      </c>
      <c r="J9" s="6"/>
    </row>
    <row r="10">
      <c r="A10" s="22" t="s">
        <v>23</v>
      </c>
      <c r="B10" s="8"/>
      <c r="C10" s="6" t="s">
        <v>95</v>
      </c>
      <c r="D10" s="6" t="s">
        <v>96</v>
      </c>
      <c r="E10" s="6" t="s">
        <v>34</v>
      </c>
      <c r="F10" s="10">
        <v>1660.0</v>
      </c>
      <c r="G10" s="6" t="s">
        <v>38</v>
      </c>
      <c r="H10" s="11">
        <f>IF(G10&lt;&gt;"Sí",0,IF(E10="UYU",F10,IF(C10="DualBoot",F10*'Configuración'!$B$4,0)))</f>
        <v>1660</v>
      </c>
      <c r="I10" s="6" t="s">
        <v>45</v>
      </c>
      <c r="J10" s="6"/>
    </row>
    <row r="11">
      <c r="A11" s="22" t="s">
        <v>23</v>
      </c>
      <c r="B11" s="8"/>
      <c r="C11" s="6" t="s">
        <v>104</v>
      </c>
      <c r="D11" s="6" t="s">
        <v>90</v>
      </c>
      <c r="E11" s="6" t="s">
        <v>34</v>
      </c>
      <c r="F11" s="10">
        <v>2490.0</v>
      </c>
      <c r="G11" s="6" t="s">
        <v>38</v>
      </c>
      <c r="H11" s="11">
        <f>IF(G11&lt;&gt;"Sí",0,IF(E11="UYU",F11,IF(C11="DualBoot",F11*'Configuración'!$B$4,0)))</f>
        <v>2490</v>
      </c>
      <c r="I11" s="6" t="s">
        <v>45</v>
      </c>
      <c r="J11" s="6"/>
    </row>
    <row r="12">
      <c r="A12" s="22" t="s">
        <v>23</v>
      </c>
      <c r="B12" s="8"/>
      <c r="C12" s="6" t="s">
        <v>110</v>
      </c>
      <c r="D12" s="6" t="s">
        <v>111</v>
      </c>
      <c r="E12" s="6" t="s">
        <v>34</v>
      </c>
      <c r="F12" s="10">
        <v>6039.0</v>
      </c>
      <c r="G12" s="6" t="s">
        <v>38</v>
      </c>
      <c r="H12" s="11">
        <f>IF(G12&lt;&gt;"Sí",0,IF(E12="UYU",F12,IF(C12="DualBoot",F12*'Configuración'!$B$4,0)))</f>
        <v>6039</v>
      </c>
      <c r="I12" s="6" t="s">
        <v>45</v>
      </c>
      <c r="J12" s="6"/>
    </row>
    <row r="13">
      <c r="A13" s="6" t="s">
        <v>23</v>
      </c>
      <c r="B13" s="8"/>
      <c r="C13" s="6" t="s">
        <v>118</v>
      </c>
      <c r="D13" s="6" t="s">
        <v>119</v>
      </c>
      <c r="E13" s="6" t="s">
        <v>120</v>
      </c>
      <c r="F13" s="10">
        <v>4400.0</v>
      </c>
      <c r="G13" s="6" t="s">
        <v>38</v>
      </c>
      <c r="H13" s="11">
        <f>IF(G13&lt;&gt;"Sí",0,IF(E13="UYU",F13,IF(C13="DualBoot",F13*'Configuración'!$B$4,0)))</f>
        <v>171600</v>
      </c>
      <c r="I13" s="6" t="s">
        <v>45</v>
      </c>
      <c r="J13" s="6"/>
    </row>
    <row r="14">
      <c r="A14" s="6" t="s">
        <v>23</v>
      </c>
      <c r="B14" s="8"/>
      <c r="C14" s="6" t="s">
        <v>47</v>
      </c>
      <c r="D14" s="6" t="s">
        <v>48</v>
      </c>
      <c r="E14" s="6" t="s">
        <v>120</v>
      </c>
      <c r="F14" s="10">
        <v>400.0</v>
      </c>
      <c r="G14" s="6" t="s">
        <v>125</v>
      </c>
      <c r="H14" s="11">
        <f>IF(G14&lt;&gt;"Sí",0,IF(E14="UYU",F14,IF(C14="DualBoot",F14*'Configuración'!$B$4,0)))</f>
        <v>0</v>
      </c>
      <c r="I14" s="6" t="s">
        <v>45</v>
      </c>
      <c r="J14" s="6"/>
    </row>
    <row r="15">
      <c r="A15" s="6" t="s">
        <v>61</v>
      </c>
      <c r="B15" s="8"/>
      <c r="C15" s="6" t="s">
        <v>71</v>
      </c>
      <c r="D15" s="6" t="s">
        <v>128</v>
      </c>
      <c r="E15" s="6" t="s">
        <v>34</v>
      </c>
      <c r="F15" s="10">
        <f>'Facturación'!E11</f>
        <v>6200</v>
      </c>
      <c r="G15" s="6" t="s">
        <v>38</v>
      </c>
      <c r="H15" s="11">
        <f>IF(G15&lt;&gt;"Sí",0,IF(E15="UYU",F15,IF(C15="DualBoot",F15*'Configuración'!$B$4,0)))</f>
        <v>6200</v>
      </c>
      <c r="I15" s="6" t="s">
        <v>45</v>
      </c>
      <c r="J15" s="6"/>
    </row>
    <row r="18">
      <c r="F18" s="32">
        <f>40171+38661+3540+2490+1660+2490+6039+7000+F7</f>
        <v>129241</v>
      </c>
    </row>
    <row r="19">
      <c r="F19" s="3">
        <v>-141172.0</v>
      </c>
    </row>
    <row r="20">
      <c r="F20" s="32">
        <f>SUM(F18:F19)</f>
        <v>-11931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conditionalFormatting sqref="A4:J15">
    <cfRule type="expression" dxfId="2" priority="1">
      <formula>$A4="Cobrado"</formula>
    </cfRule>
  </conditionalFormatting>
  <conditionalFormatting sqref="A4:J15">
    <cfRule type="expression" dxfId="3" priority="2">
      <formula>OR($A4="Pendiente",$A4="Programado")</formula>
    </cfRule>
  </conditionalFormatting>
  <dataValidations>
    <dataValidation type="list" allowBlank="1" sqref="E4:E15">
      <formula1>"UYU,USD"</formula1>
    </dataValidation>
    <dataValidation type="list" allowBlank="1" sqref="G4:G15">
      <formula1>"Sí,No"</formula1>
    </dataValidation>
    <dataValidation type="list" allowBlank="1" sqref="A4:A15">
      <formula1>"Cobrado,Pendiente,Programado"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6.88"/>
    <col customWidth="1" min="2" max="2" width="12.0"/>
    <col customWidth="1" min="3" max="3" width="24.0"/>
    <col customWidth="1" min="4" max="4" width="36.0"/>
    <col customWidth="1" min="5" max="5" width="9.0"/>
    <col customWidth="1" min="6" max="6" width="15.0"/>
    <col customWidth="1" min="7" max="7" width="11.0"/>
    <col customWidth="1" min="8" max="8" width="15.0"/>
    <col customWidth="1" min="9" max="9" width="18.0"/>
    <col customWidth="1" min="10" max="10" width="12.0"/>
    <col customWidth="1" min="11" max="11" width="16.0"/>
    <col customWidth="1" min="12" max="26" width="8.63"/>
  </cols>
  <sheetData>
    <row r="1" ht="30.0" customHeight="1">
      <c r="A1" s="1" t="s">
        <v>12</v>
      </c>
    </row>
    <row r="3">
      <c r="A3" s="2" t="s">
        <v>9</v>
      </c>
      <c r="B3" s="2" t="s">
        <v>10</v>
      </c>
      <c r="C3" s="2" t="s">
        <v>24</v>
      </c>
      <c r="D3" s="2" t="s">
        <v>26</v>
      </c>
      <c r="E3" s="2" t="s">
        <v>17</v>
      </c>
      <c r="F3" s="2" t="s">
        <v>6</v>
      </c>
      <c r="G3" s="2" t="s">
        <v>32</v>
      </c>
      <c r="H3" s="2" t="s">
        <v>33</v>
      </c>
      <c r="I3" s="2" t="s">
        <v>36</v>
      </c>
      <c r="J3" s="2" t="s">
        <v>21</v>
      </c>
      <c r="K3" s="2" t="s">
        <v>37</v>
      </c>
    </row>
    <row r="4">
      <c r="A4" s="6" t="s">
        <v>39</v>
      </c>
      <c r="B4" s="8">
        <v>46235.0</v>
      </c>
      <c r="C4" s="6" t="s">
        <v>41</v>
      </c>
      <c r="D4" s="6" t="s">
        <v>42</v>
      </c>
      <c r="E4" s="6" t="s">
        <v>34</v>
      </c>
      <c r="F4" s="11">
        <v>167.0</v>
      </c>
      <c r="G4" s="6" t="s">
        <v>43</v>
      </c>
      <c r="H4" s="6" t="s">
        <v>44</v>
      </c>
      <c r="I4" s="6"/>
      <c r="J4" s="6" t="s">
        <v>45</v>
      </c>
      <c r="K4" s="11">
        <f t="shared" ref="K4:K45" si="1">IF(A4="⏳ Pendiente",F4,0)</f>
        <v>0</v>
      </c>
    </row>
    <row r="5">
      <c r="A5" s="6" t="s">
        <v>39</v>
      </c>
      <c r="B5" s="8">
        <v>46237.0</v>
      </c>
      <c r="C5" s="6" t="s">
        <v>50</v>
      </c>
      <c r="D5" s="6" t="s">
        <v>51</v>
      </c>
      <c r="E5" s="6" t="s">
        <v>34</v>
      </c>
      <c r="F5" s="11">
        <v>9026.0</v>
      </c>
      <c r="G5" s="6" t="s">
        <v>43</v>
      </c>
      <c r="H5" s="6" t="s">
        <v>44</v>
      </c>
      <c r="I5" s="6"/>
      <c r="J5" s="6" t="s">
        <v>45</v>
      </c>
      <c r="K5" s="11">
        <f t="shared" si="1"/>
        <v>0</v>
      </c>
    </row>
    <row r="6">
      <c r="A6" s="6" t="s">
        <v>39</v>
      </c>
      <c r="B6" s="8">
        <v>46237.0</v>
      </c>
      <c r="C6" s="6" t="s">
        <v>50</v>
      </c>
      <c r="D6" s="6" t="s">
        <v>54</v>
      </c>
      <c r="E6" s="6" t="s">
        <v>34</v>
      </c>
      <c r="F6" s="11">
        <v>739.0</v>
      </c>
      <c r="G6" s="6" t="s">
        <v>43</v>
      </c>
      <c r="H6" s="6" t="s">
        <v>44</v>
      </c>
      <c r="I6" s="6"/>
      <c r="J6" s="6" t="s">
        <v>45</v>
      </c>
      <c r="K6" s="11">
        <f t="shared" si="1"/>
        <v>0</v>
      </c>
    </row>
    <row r="7">
      <c r="A7" s="6" t="s">
        <v>39</v>
      </c>
      <c r="B7" s="8">
        <v>46237.0</v>
      </c>
      <c r="C7" s="6" t="s">
        <v>57</v>
      </c>
      <c r="D7" s="6" t="s">
        <v>58</v>
      </c>
      <c r="E7" s="6" t="s">
        <v>34</v>
      </c>
      <c r="F7" s="11">
        <v>1356.03</v>
      </c>
      <c r="G7" s="6" t="s">
        <v>43</v>
      </c>
      <c r="H7" s="6" t="s">
        <v>44</v>
      </c>
      <c r="I7" s="6"/>
      <c r="J7" s="6" t="s">
        <v>45</v>
      </c>
      <c r="K7" s="11">
        <f t="shared" si="1"/>
        <v>0</v>
      </c>
    </row>
    <row r="8">
      <c r="A8" s="6" t="s">
        <v>39</v>
      </c>
      <c r="B8" s="8">
        <v>46237.0</v>
      </c>
      <c r="C8" s="6" t="s">
        <v>57</v>
      </c>
      <c r="D8" s="6" t="s">
        <v>60</v>
      </c>
      <c r="E8" s="6" t="s">
        <v>34</v>
      </c>
      <c r="F8" s="11">
        <v>393.03</v>
      </c>
      <c r="G8" s="6" t="s">
        <v>43</v>
      </c>
      <c r="H8" s="6" t="s">
        <v>44</v>
      </c>
      <c r="I8" s="6"/>
      <c r="J8" s="6" t="s">
        <v>45</v>
      </c>
      <c r="K8" s="11">
        <f t="shared" si="1"/>
        <v>0</v>
      </c>
    </row>
    <row r="9">
      <c r="A9" s="6" t="s">
        <v>39</v>
      </c>
      <c r="B9" s="8">
        <v>46240.0</v>
      </c>
      <c r="C9" s="6" t="s">
        <v>64</v>
      </c>
      <c r="D9" s="6" t="s">
        <v>65</v>
      </c>
      <c r="E9" s="6" t="s">
        <v>34</v>
      </c>
      <c r="F9" s="11">
        <v>16270.0</v>
      </c>
      <c r="G9" s="6" t="s">
        <v>43</v>
      </c>
      <c r="H9" s="6" t="s">
        <v>44</v>
      </c>
      <c r="I9" s="6"/>
      <c r="J9" s="6" t="s">
        <v>45</v>
      </c>
      <c r="K9" s="11">
        <f t="shared" si="1"/>
        <v>0</v>
      </c>
    </row>
    <row r="10">
      <c r="A10" s="6" t="s">
        <v>39</v>
      </c>
      <c r="B10" s="8">
        <v>46240.0</v>
      </c>
      <c r="C10" s="6" t="s">
        <v>64</v>
      </c>
      <c r="D10" s="6" t="s">
        <v>68</v>
      </c>
      <c r="E10" s="6" t="s">
        <v>34</v>
      </c>
      <c r="F10" s="11">
        <v>10549.65</v>
      </c>
      <c r="G10" s="6" t="s">
        <v>43</v>
      </c>
      <c r="H10" s="6" t="s">
        <v>44</v>
      </c>
      <c r="I10" s="6"/>
      <c r="J10" s="6" t="s">
        <v>45</v>
      </c>
      <c r="K10" s="11">
        <f t="shared" si="1"/>
        <v>0</v>
      </c>
    </row>
    <row r="11">
      <c r="A11" s="6" t="s">
        <v>39</v>
      </c>
      <c r="B11" s="8">
        <v>46241.0</v>
      </c>
      <c r="C11" s="6" t="s">
        <v>70</v>
      </c>
      <c r="D11" s="6" t="s">
        <v>72</v>
      </c>
      <c r="E11" s="6" t="s">
        <v>34</v>
      </c>
      <c r="F11" s="11">
        <v>1200.0</v>
      </c>
      <c r="G11" s="6" t="s">
        <v>76</v>
      </c>
      <c r="H11" s="6" t="s">
        <v>77</v>
      </c>
      <c r="I11" s="6"/>
      <c r="J11" s="6" t="s">
        <v>45</v>
      </c>
      <c r="K11" s="11">
        <f t="shared" si="1"/>
        <v>0</v>
      </c>
    </row>
    <row r="12">
      <c r="A12" s="6" t="s">
        <v>39</v>
      </c>
      <c r="B12" s="8">
        <v>46241.0</v>
      </c>
      <c r="C12" s="6" t="s">
        <v>70</v>
      </c>
      <c r="D12" s="6" t="s">
        <v>81</v>
      </c>
      <c r="E12" s="6" t="s">
        <v>34</v>
      </c>
      <c r="F12" s="11">
        <v>5240.0</v>
      </c>
      <c r="G12" s="6" t="s">
        <v>76</v>
      </c>
      <c r="H12" s="6" t="s">
        <v>77</v>
      </c>
      <c r="I12" s="6" t="s">
        <v>84</v>
      </c>
      <c r="J12" s="6" t="s">
        <v>45</v>
      </c>
      <c r="K12" s="11">
        <f t="shared" si="1"/>
        <v>0</v>
      </c>
    </row>
    <row r="13">
      <c r="A13" s="6" t="s">
        <v>39</v>
      </c>
      <c r="B13" s="8">
        <v>46241.0</v>
      </c>
      <c r="C13" s="6" t="s">
        <v>86</v>
      </c>
      <c r="D13" s="6" t="s">
        <v>87</v>
      </c>
      <c r="E13" s="6" t="s">
        <v>34</v>
      </c>
      <c r="F13" s="11">
        <v>16000.0</v>
      </c>
      <c r="G13" s="6" t="s">
        <v>43</v>
      </c>
      <c r="H13" s="6" t="s">
        <v>44</v>
      </c>
      <c r="I13" s="6"/>
      <c r="J13" s="6" t="s">
        <v>45</v>
      </c>
      <c r="K13" s="11">
        <f t="shared" si="1"/>
        <v>0</v>
      </c>
    </row>
    <row r="14">
      <c r="A14" s="19" t="s">
        <v>91</v>
      </c>
      <c r="B14" s="20">
        <v>46241.0</v>
      </c>
      <c r="C14" s="19" t="s">
        <v>70</v>
      </c>
      <c r="D14" s="19" t="s">
        <v>92</v>
      </c>
      <c r="E14" s="19" t="s">
        <v>34</v>
      </c>
      <c r="F14" s="21">
        <v>0.0</v>
      </c>
      <c r="G14" s="19" t="s">
        <v>93</v>
      </c>
      <c r="H14" s="19" t="s">
        <v>94</v>
      </c>
      <c r="I14" s="19"/>
      <c r="J14" s="19" t="s">
        <v>45</v>
      </c>
      <c r="K14" s="21">
        <f t="shared" si="1"/>
        <v>0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6" t="s">
        <v>39</v>
      </c>
      <c r="B15" s="8">
        <v>46241.0</v>
      </c>
      <c r="C15" s="6" t="s">
        <v>101</v>
      </c>
      <c r="D15" s="6" t="s">
        <v>102</v>
      </c>
      <c r="E15" s="6" t="s">
        <v>34</v>
      </c>
      <c r="F15" s="11">
        <v>850.0</v>
      </c>
      <c r="G15" s="6" t="s">
        <v>43</v>
      </c>
      <c r="H15" s="6" t="s">
        <v>44</v>
      </c>
      <c r="I15" s="6"/>
      <c r="J15" s="6" t="s">
        <v>45</v>
      </c>
      <c r="K15" s="11">
        <f t="shared" si="1"/>
        <v>0</v>
      </c>
    </row>
    <row r="16">
      <c r="A16" s="27" t="s">
        <v>107</v>
      </c>
      <c r="B16" s="20">
        <v>46241.0</v>
      </c>
      <c r="C16" s="19" t="s">
        <v>108</v>
      </c>
      <c r="D16" s="19" t="s">
        <v>109</v>
      </c>
      <c r="E16" s="19" t="s">
        <v>34</v>
      </c>
      <c r="F16" s="21">
        <v>1664.0</v>
      </c>
      <c r="G16" s="19" t="s">
        <v>43</v>
      </c>
      <c r="H16" s="19" t="s">
        <v>77</v>
      </c>
      <c r="I16" s="29">
        <v>1664.0</v>
      </c>
      <c r="J16" s="19" t="s">
        <v>45</v>
      </c>
      <c r="K16" s="21">
        <f t="shared" si="1"/>
        <v>0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6" t="s">
        <v>39</v>
      </c>
      <c r="B17" s="8">
        <v>46241.0</v>
      </c>
      <c r="C17" s="6" t="s">
        <v>115</v>
      </c>
      <c r="D17" s="6" t="s">
        <v>116</v>
      </c>
      <c r="E17" s="6" t="s">
        <v>34</v>
      </c>
      <c r="F17" s="11">
        <v>2500.0</v>
      </c>
      <c r="G17" s="6" t="s">
        <v>76</v>
      </c>
      <c r="H17" s="6" t="s">
        <v>77</v>
      </c>
      <c r="I17" s="6"/>
      <c r="J17" s="6" t="s">
        <v>45</v>
      </c>
      <c r="K17" s="11">
        <f t="shared" si="1"/>
        <v>0</v>
      </c>
    </row>
    <row r="18">
      <c r="A18" s="19" t="s">
        <v>107</v>
      </c>
      <c r="B18" s="20">
        <v>46241.0</v>
      </c>
      <c r="C18" s="19" t="s">
        <v>121</v>
      </c>
      <c r="D18" s="19" t="s">
        <v>122</v>
      </c>
      <c r="E18" s="19" t="s">
        <v>34</v>
      </c>
      <c r="F18" s="21">
        <v>1196.0</v>
      </c>
      <c r="G18" s="19" t="s">
        <v>76</v>
      </c>
      <c r="H18" s="19" t="s">
        <v>77</v>
      </c>
      <c r="I18" s="29">
        <v>1196.0</v>
      </c>
      <c r="J18" s="19" t="s">
        <v>45</v>
      </c>
      <c r="K18" s="21">
        <f t="shared" si="1"/>
        <v>0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6" t="s">
        <v>124</v>
      </c>
      <c r="B19" s="8">
        <v>46241.0</v>
      </c>
      <c r="C19" s="6" t="s">
        <v>126</v>
      </c>
      <c r="D19" s="6" t="s">
        <v>127</v>
      </c>
      <c r="E19" s="6" t="s">
        <v>34</v>
      </c>
      <c r="F19" s="11">
        <f>3620-1050</f>
        <v>2570</v>
      </c>
      <c r="G19" s="6" t="s">
        <v>76</v>
      </c>
      <c r="H19" s="6" t="s">
        <v>77</v>
      </c>
      <c r="I19" s="6" t="s">
        <v>129</v>
      </c>
      <c r="J19" s="6" t="s">
        <v>45</v>
      </c>
      <c r="K19" s="11">
        <f t="shared" si="1"/>
        <v>2570</v>
      </c>
    </row>
    <row r="20">
      <c r="A20" s="19" t="s">
        <v>107</v>
      </c>
      <c r="B20" s="20">
        <v>46241.0</v>
      </c>
      <c r="C20" s="19" t="s">
        <v>130</v>
      </c>
      <c r="D20" s="19" t="s">
        <v>131</v>
      </c>
      <c r="E20" s="19" t="s">
        <v>34</v>
      </c>
      <c r="F20" s="21">
        <v>8039.0</v>
      </c>
      <c r="G20" s="19" t="s">
        <v>43</v>
      </c>
      <c r="H20" s="19" t="s">
        <v>77</v>
      </c>
      <c r="I20" s="19" t="s">
        <v>132</v>
      </c>
      <c r="J20" s="19" t="s">
        <v>45</v>
      </c>
      <c r="K20" s="21">
        <f t="shared" si="1"/>
        <v>0</v>
      </c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6" t="s">
        <v>39</v>
      </c>
      <c r="B21" s="8">
        <v>46241.0</v>
      </c>
      <c r="C21" s="6" t="s">
        <v>133</v>
      </c>
      <c r="D21" s="6" t="s">
        <v>134</v>
      </c>
      <c r="E21" s="6" t="s">
        <v>34</v>
      </c>
      <c r="F21" s="11">
        <v>3000.0</v>
      </c>
      <c r="G21" s="6" t="s">
        <v>43</v>
      </c>
      <c r="H21" s="6" t="s">
        <v>44</v>
      </c>
      <c r="I21" s="6"/>
      <c r="J21" s="6" t="s">
        <v>45</v>
      </c>
      <c r="K21" s="11">
        <f t="shared" si="1"/>
        <v>0</v>
      </c>
    </row>
    <row r="22" ht="15.75" customHeight="1">
      <c r="A22" s="6" t="s">
        <v>39</v>
      </c>
      <c r="B22" s="8">
        <v>46241.0</v>
      </c>
      <c r="C22" s="6" t="s">
        <v>133</v>
      </c>
      <c r="D22" s="6" t="s">
        <v>135</v>
      </c>
      <c r="E22" s="6" t="s">
        <v>34</v>
      </c>
      <c r="F22" s="11">
        <v>3232.0</v>
      </c>
      <c r="G22" s="6" t="s">
        <v>43</v>
      </c>
      <c r="H22" s="6" t="s">
        <v>44</v>
      </c>
      <c r="I22" s="6"/>
      <c r="J22" s="6" t="s">
        <v>45</v>
      </c>
      <c r="K22" s="11">
        <f t="shared" si="1"/>
        <v>0</v>
      </c>
    </row>
    <row r="23" ht="15.75" customHeight="1">
      <c r="A23" s="6" t="s">
        <v>39</v>
      </c>
      <c r="B23" s="8">
        <v>46241.0</v>
      </c>
      <c r="C23" s="6" t="s">
        <v>133</v>
      </c>
      <c r="D23" s="6" t="s">
        <v>136</v>
      </c>
      <c r="E23" s="6" t="s">
        <v>34</v>
      </c>
      <c r="F23" s="11">
        <v>4300.0</v>
      </c>
      <c r="G23" s="6" t="s">
        <v>43</v>
      </c>
      <c r="H23" s="6" t="s">
        <v>44</v>
      </c>
      <c r="I23" s="6"/>
      <c r="J23" s="6" t="s">
        <v>45</v>
      </c>
      <c r="K23" s="11">
        <f t="shared" si="1"/>
        <v>0</v>
      </c>
    </row>
    <row r="24" ht="15.75" customHeight="1">
      <c r="A24" s="6" t="s">
        <v>124</v>
      </c>
      <c r="B24" s="8">
        <v>46244.0</v>
      </c>
      <c r="C24" s="6" t="s">
        <v>137</v>
      </c>
      <c r="D24" s="6" t="s">
        <v>138</v>
      </c>
      <c r="E24" s="6" t="s">
        <v>34</v>
      </c>
      <c r="F24" s="11">
        <v>17875.0</v>
      </c>
      <c r="G24" s="6" t="s">
        <v>43</v>
      </c>
      <c r="H24" s="6" t="s">
        <v>44</v>
      </c>
      <c r="I24" s="6"/>
      <c r="J24" s="6" t="s">
        <v>45</v>
      </c>
      <c r="K24" s="11">
        <f t="shared" si="1"/>
        <v>17875</v>
      </c>
    </row>
    <row r="25" ht="15.75" customHeight="1">
      <c r="A25" s="6" t="s">
        <v>124</v>
      </c>
      <c r="B25" s="8">
        <v>46244.0</v>
      </c>
      <c r="C25" s="6" t="s">
        <v>139</v>
      </c>
      <c r="D25" s="6" t="s">
        <v>140</v>
      </c>
      <c r="E25" s="6" t="s">
        <v>34</v>
      </c>
      <c r="F25" s="11">
        <v>33500.0</v>
      </c>
      <c r="G25" s="6" t="s">
        <v>43</v>
      </c>
      <c r="H25" s="6" t="s">
        <v>44</v>
      </c>
      <c r="I25" s="6"/>
      <c r="J25" s="6" t="s">
        <v>45</v>
      </c>
      <c r="K25" s="11">
        <f t="shared" si="1"/>
        <v>33500</v>
      </c>
    </row>
    <row r="26" ht="15.75" customHeight="1">
      <c r="A26" s="6" t="s">
        <v>124</v>
      </c>
      <c r="B26" s="8">
        <v>46245.0</v>
      </c>
      <c r="C26" s="6" t="s">
        <v>50</v>
      </c>
      <c r="D26" s="6" t="s">
        <v>51</v>
      </c>
      <c r="E26" s="6" t="s">
        <v>34</v>
      </c>
      <c r="F26" s="11">
        <v>558.0</v>
      </c>
      <c r="G26" s="6" t="s">
        <v>43</v>
      </c>
      <c r="H26" s="6" t="s">
        <v>44</v>
      </c>
      <c r="I26" s="6"/>
      <c r="J26" s="6" t="s">
        <v>45</v>
      </c>
      <c r="K26" s="11">
        <f t="shared" si="1"/>
        <v>558</v>
      </c>
    </row>
    <row r="27" ht="15.75" customHeight="1">
      <c r="A27" s="6" t="s">
        <v>39</v>
      </c>
      <c r="B27" s="8">
        <v>46247.0</v>
      </c>
      <c r="C27" s="6" t="s">
        <v>64</v>
      </c>
      <c r="D27" s="6" t="s">
        <v>151</v>
      </c>
      <c r="E27" s="6" t="s">
        <v>34</v>
      </c>
      <c r="F27" s="11">
        <v>106218.06</v>
      </c>
      <c r="G27" s="6" t="s">
        <v>43</v>
      </c>
      <c r="H27" s="6" t="s">
        <v>44</v>
      </c>
      <c r="I27" s="6"/>
      <c r="J27" s="6" t="s">
        <v>45</v>
      </c>
      <c r="K27" s="11">
        <f t="shared" si="1"/>
        <v>0</v>
      </c>
    </row>
    <row r="28" ht="15.75" customHeight="1">
      <c r="A28" s="6" t="s">
        <v>39</v>
      </c>
      <c r="B28" s="8">
        <v>46247.0</v>
      </c>
      <c r="C28" s="6" t="s">
        <v>64</v>
      </c>
      <c r="D28" s="6" t="s">
        <v>152</v>
      </c>
      <c r="E28" s="6" t="s">
        <v>34</v>
      </c>
      <c r="F28" s="11">
        <v>1334.99</v>
      </c>
      <c r="G28" s="6" t="s">
        <v>43</v>
      </c>
      <c r="H28" s="6" t="s">
        <v>44</v>
      </c>
      <c r="I28" s="6" t="s">
        <v>59</v>
      </c>
      <c r="J28" s="6" t="s">
        <v>45</v>
      </c>
      <c r="K28" s="11">
        <f t="shared" si="1"/>
        <v>0</v>
      </c>
    </row>
    <row r="29" ht="15.75" customHeight="1">
      <c r="A29" s="6" t="s">
        <v>124</v>
      </c>
      <c r="B29" s="8">
        <v>46251.0</v>
      </c>
      <c r="C29" s="6" t="s">
        <v>50</v>
      </c>
      <c r="D29" s="6" t="s">
        <v>54</v>
      </c>
      <c r="E29" s="6" t="s">
        <v>34</v>
      </c>
      <c r="F29" s="11">
        <v>593.0</v>
      </c>
      <c r="G29" s="6" t="s">
        <v>43</v>
      </c>
      <c r="H29" s="6" t="s">
        <v>44</v>
      </c>
      <c r="I29" s="6"/>
      <c r="J29" s="6" t="s">
        <v>45</v>
      </c>
      <c r="K29" s="11">
        <f t="shared" si="1"/>
        <v>593</v>
      </c>
    </row>
    <row r="30" ht="15.75" customHeight="1">
      <c r="A30" s="6" t="s">
        <v>124</v>
      </c>
      <c r="B30" s="8">
        <v>46251.0</v>
      </c>
      <c r="C30" s="6" t="s">
        <v>41</v>
      </c>
      <c r="D30" s="6" t="s">
        <v>155</v>
      </c>
      <c r="E30" s="6" t="s">
        <v>34</v>
      </c>
      <c r="F30" s="11">
        <v>2904.0</v>
      </c>
      <c r="G30" s="6" t="s">
        <v>43</v>
      </c>
      <c r="H30" s="6" t="s">
        <v>44</v>
      </c>
      <c r="I30" s="6"/>
      <c r="J30" s="6" t="s">
        <v>45</v>
      </c>
      <c r="K30" s="11">
        <f t="shared" si="1"/>
        <v>2904</v>
      </c>
    </row>
    <row r="31" ht="15.75" customHeight="1">
      <c r="A31" s="6" t="s">
        <v>124</v>
      </c>
      <c r="B31" s="8">
        <v>46251.0</v>
      </c>
      <c r="C31" s="6" t="s">
        <v>41</v>
      </c>
      <c r="D31" s="6" t="s">
        <v>157</v>
      </c>
      <c r="E31" s="6" t="s">
        <v>34</v>
      </c>
      <c r="F31" s="11">
        <v>2857.0</v>
      </c>
      <c r="G31" s="6" t="s">
        <v>43</v>
      </c>
      <c r="H31" s="6" t="s">
        <v>44</v>
      </c>
      <c r="I31" s="6"/>
      <c r="J31" s="6" t="s">
        <v>45</v>
      </c>
      <c r="K31" s="11">
        <f t="shared" si="1"/>
        <v>2857</v>
      </c>
    </row>
    <row r="32" ht="15.75" customHeight="1">
      <c r="A32" s="6" t="s">
        <v>124</v>
      </c>
      <c r="B32" s="8">
        <v>46254.0</v>
      </c>
      <c r="C32" s="6" t="s">
        <v>159</v>
      </c>
      <c r="D32" s="6" t="s">
        <v>160</v>
      </c>
      <c r="E32" s="6" t="s">
        <v>34</v>
      </c>
      <c r="F32" s="11">
        <v>354.6</v>
      </c>
      <c r="G32" s="6" t="s">
        <v>43</v>
      </c>
      <c r="H32" s="6" t="s">
        <v>44</v>
      </c>
      <c r="I32" s="6" t="s">
        <v>59</v>
      </c>
      <c r="J32" s="6" t="s">
        <v>45</v>
      </c>
      <c r="K32" s="11">
        <f t="shared" si="1"/>
        <v>354.6</v>
      </c>
    </row>
    <row r="33" ht="15.75" customHeight="1">
      <c r="A33" s="6" t="s">
        <v>124</v>
      </c>
      <c r="B33" s="8">
        <v>46254.0</v>
      </c>
      <c r="C33" s="6" t="s">
        <v>159</v>
      </c>
      <c r="D33" s="6" t="s">
        <v>160</v>
      </c>
      <c r="E33" s="6" t="s">
        <v>34</v>
      </c>
      <c r="F33" s="11">
        <v>186.31</v>
      </c>
      <c r="G33" s="6" t="s">
        <v>43</v>
      </c>
      <c r="H33" s="6" t="s">
        <v>44</v>
      </c>
      <c r="I33" s="6" t="s">
        <v>59</v>
      </c>
      <c r="J33" s="6" t="s">
        <v>45</v>
      </c>
      <c r="K33" s="11">
        <f t="shared" si="1"/>
        <v>186.31</v>
      </c>
    </row>
    <row r="34" ht="15.75" customHeight="1">
      <c r="A34" s="6" t="s">
        <v>124</v>
      </c>
      <c r="B34" s="8">
        <v>46254.0</v>
      </c>
      <c r="C34" s="6" t="s">
        <v>108</v>
      </c>
      <c r="D34" s="6" t="s">
        <v>162</v>
      </c>
      <c r="E34" s="6" t="s">
        <v>34</v>
      </c>
      <c r="F34" s="11">
        <v>6326.0</v>
      </c>
      <c r="G34" s="6" t="s">
        <v>43</v>
      </c>
      <c r="H34" s="6" t="s">
        <v>44</v>
      </c>
      <c r="I34" s="6" t="s">
        <v>59</v>
      </c>
      <c r="J34" s="6" t="s">
        <v>45</v>
      </c>
      <c r="K34" s="11">
        <f t="shared" si="1"/>
        <v>6326</v>
      </c>
    </row>
    <row r="35" ht="15.75" customHeight="1">
      <c r="A35" s="6" t="s">
        <v>124</v>
      </c>
      <c r="B35" s="8">
        <v>46254.0</v>
      </c>
      <c r="C35" s="6" t="s">
        <v>108</v>
      </c>
      <c r="D35" s="6" t="s">
        <v>163</v>
      </c>
      <c r="E35" s="6" t="s">
        <v>34</v>
      </c>
      <c r="F35" s="11">
        <v>5020.0</v>
      </c>
      <c r="G35" s="6" t="s">
        <v>43</v>
      </c>
      <c r="H35" s="6" t="s">
        <v>44</v>
      </c>
      <c r="I35" s="6" t="s">
        <v>59</v>
      </c>
      <c r="J35" s="6" t="s">
        <v>45</v>
      </c>
      <c r="K35" s="11">
        <f t="shared" si="1"/>
        <v>5020</v>
      </c>
    </row>
    <row r="36" ht="15.75" customHeight="1">
      <c r="A36" s="6" t="s">
        <v>124</v>
      </c>
      <c r="B36" s="8">
        <v>46254.0</v>
      </c>
      <c r="C36" s="6" t="s">
        <v>108</v>
      </c>
      <c r="D36" s="6" t="s">
        <v>166</v>
      </c>
      <c r="E36" s="6" t="s">
        <v>34</v>
      </c>
      <c r="F36" s="11">
        <v>4594.0</v>
      </c>
      <c r="G36" s="6" t="s">
        <v>43</v>
      </c>
      <c r="H36" s="6" t="s">
        <v>44</v>
      </c>
      <c r="I36" s="6" t="s">
        <v>59</v>
      </c>
      <c r="J36" s="6" t="s">
        <v>45</v>
      </c>
      <c r="K36" s="11">
        <f t="shared" si="1"/>
        <v>4594</v>
      </c>
    </row>
    <row r="37" ht="15.75" customHeight="1">
      <c r="A37" s="6" t="s">
        <v>124</v>
      </c>
      <c r="B37" s="8">
        <v>46254.0</v>
      </c>
      <c r="C37" s="6" t="s">
        <v>57</v>
      </c>
      <c r="D37" s="6" t="s">
        <v>167</v>
      </c>
      <c r="E37" s="6" t="s">
        <v>34</v>
      </c>
      <c r="F37" s="11">
        <v>390.89</v>
      </c>
      <c r="G37" s="6" t="s">
        <v>43</v>
      </c>
      <c r="H37" s="6" t="s">
        <v>44</v>
      </c>
      <c r="I37" s="6"/>
      <c r="J37" s="6" t="s">
        <v>45</v>
      </c>
      <c r="K37" s="11">
        <f t="shared" si="1"/>
        <v>390.89</v>
      </c>
    </row>
    <row r="38" ht="15.75" customHeight="1">
      <c r="A38" s="6" t="s">
        <v>124</v>
      </c>
      <c r="B38" s="8">
        <v>46262.0</v>
      </c>
      <c r="C38" s="6" t="s">
        <v>57</v>
      </c>
      <c r="D38" s="6" t="s">
        <v>168</v>
      </c>
      <c r="E38" s="6" t="s">
        <v>34</v>
      </c>
      <c r="F38" s="11">
        <v>84.61</v>
      </c>
      <c r="G38" s="6" t="s">
        <v>43</v>
      </c>
      <c r="H38" s="6" t="s">
        <v>44</v>
      </c>
      <c r="I38" s="6"/>
      <c r="J38" s="6" t="s">
        <v>45</v>
      </c>
      <c r="K38" s="11">
        <f t="shared" si="1"/>
        <v>84.61</v>
      </c>
    </row>
    <row r="39" ht="15.75" customHeight="1">
      <c r="A39" s="6" t="s">
        <v>124</v>
      </c>
      <c r="B39" s="8">
        <v>46265.0</v>
      </c>
      <c r="C39" s="6" t="s">
        <v>169</v>
      </c>
      <c r="D39" s="6" t="s">
        <v>170</v>
      </c>
      <c r="E39" s="6" t="s">
        <v>34</v>
      </c>
      <c r="F39" s="11">
        <v>7566.0</v>
      </c>
      <c r="G39" s="6" t="s">
        <v>43</v>
      </c>
      <c r="H39" s="6" t="s">
        <v>44</v>
      </c>
      <c r="I39" s="6"/>
      <c r="J39" s="6" t="s">
        <v>45</v>
      </c>
      <c r="K39" s="11">
        <f t="shared" si="1"/>
        <v>7566</v>
      </c>
    </row>
    <row r="40" ht="15.75" customHeight="1">
      <c r="A40" s="6" t="s">
        <v>124</v>
      </c>
      <c r="B40" s="8">
        <v>46265.0</v>
      </c>
      <c r="C40" s="6" t="s">
        <v>41</v>
      </c>
      <c r="D40" s="6" t="s">
        <v>42</v>
      </c>
      <c r="E40" s="6" t="s">
        <v>34</v>
      </c>
      <c r="F40" s="11">
        <v>1110.0</v>
      </c>
      <c r="G40" s="6" t="s">
        <v>43</v>
      </c>
      <c r="H40" s="6" t="s">
        <v>44</v>
      </c>
      <c r="I40" s="6"/>
      <c r="J40" s="6" t="s">
        <v>45</v>
      </c>
      <c r="K40" s="11">
        <f t="shared" si="1"/>
        <v>1110</v>
      </c>
    </row>
    <row r="41" ht="15.75" customHeight="1">
      <c r="A41" s="6" t="s">
        <v>124</v>
      </c>
      <c r="B41" s="8">
        <v>46265.0</v>
      </c>
      <c r="C41" s="6" t="s">
        <v>57</v>
      </c>
      <c r="D41" s="6" t="s">
        <v>171</v>
      </c>
      <c r="E41" s="6" t="s">
        <v>34</v>
      </c>
      <c r="F41" s="11">
        <v>99.44</v>
      </c>
      <c r="G41" s="6" t="s">
        <v>43</v>
      </c>
      <c r="H41" s="6" t="s">
        <v>44</v>
      </c>
      <c r="I41" s="6"/>
      <c r="J41" s="6" t="s">
        <v>45</v>
      </c>
      <c r="K41" s="11">
        <f t="shared" si="1"/>
        <v>99.44</v>
      </c>
    </row>
    <row r="42" ht="15.75" customHeight="1">
      <c r="A42" s="6" t="s">
        <v>39</v>
      </c>
      <c r="B42" s="8"/>
      <c r="C42" s="6" t="s">
        <v>133</v>
      </c>
      <c r="D42" s="6" t="s">
        <v>172</v>
      </c>
      <c r="E42" s="6" t="s">
        <v>34</v>
      </c>
      <c r="F42" s="11">
        <f t="shared" ref="F42:F45" si="2">1500+140</f>
        <v>1640</v>
      </c>
      <c r="G42" s="6" t="s">
        <v>43</v>
      </c>
      <c r="H42" s="6" t="s">
        <v>44</v>
      </c>
      <c r="I42" s="6"/>
      <c r="J42" s="6" t="s">
        <v>45</v>
      </c>
      <c r="K42" s="11">
        <f t="shared" si="1"/>
        <v>0</v>
      </c>
    </row>
    <row r="43" ht="15.75" customHeight="1">
      <c r="A43" s="6" t="s">
        <v>124</v>
      </c>
      <c r="B43" s="8"/>
      <c r="C43" s="6" t="s">
        <v>133</v>
      </c>
      <c r="D43" s="22" t="s">
        <v>173</v>
      </c>
      <c r="E43" s="6" t="s">
        <v>34</v>
      </c>
      <c r="F43" s="11">
        <f t="shared" si="2"/>
        <v>1640</v>
      </c>
      <c r="G43" s="6" t="s">
        <v>43</v>
      </c>
      <c r="H43" s="6" t="s">
        <v>44</v>
      </c>
      <c r="I43" s="6"/>
      <c r="J43" s="6" t="s">
        <v>45</v>
      </c>
      <c r="K43" s="11">
        <f t="shared" si="1"/>
        <v>1640</v>
      </c>
    </row>
    <row r="44" ht="15.75" customHeight="1">
      <c r="A44" s="6" t="s">
        <v>124</v>
      </c>
      <c r="B44" s="8"/>
      <c r="C44" s="6" t="s">
        <v>133</v>
      </c>
      <c r="D44" s="22" t="s">
        <v>174</v>
      </c>
      <c r="E44" s="6" t="s">
        <v>34</v>
      </c>
      <c r="F44" s="11">
        <f t="shared" si="2"/>
        <v>1640</v>
      </c>
      <c r="G44" s="6" t="s">
        <v>43</v>
      </c>
      <c r="H44" s="6" t="s">
        <v>44</v>
      </c>
      <c r="I44" s="6"/>
      <c r="J44" s="6" t="s">
        <v>45</v>
      </c>
      <c r="K44" s="11">
        <f t="shared" si="1"/>
        <v>1640</v>
      </c>
    </row>
    <row r="45" ht="15.75" customHeight="1">
      <c r="A45" s="6" t="s">
        <v>124</v>
      </c>
      <c r="B45" s="8"/>
      <c r="C45" s="6" t="s">
        <v>133</v>
      </c>
      <c r="D45" s="22" t="s">
        <v>175</v>
      </c>
      <c r="E45" s="6" t="s">
        <v>34</v>
      </c>
      <c r="F45" s="11">
        <f t="shared" si="2"/>
        <v>1640</v>
      </c>
      <c r="G45" s="6" t="s">
        <v>43</v>
      </c>
      <c r="H45" s="6" t="s">
        <v>44</v>
      </c>
      <c r="I45" s="6"/>
      <c r="J45" s="6" t="s">
        <v>45</v>
      </c>
      <c r="K45" s="11">
        <f t="shared" si="1"/>
        <v>1640</v>
      </c>
    </row>
    <row r="46" ht="15.75" customHeight="1">
      <c r="A46" s="22" t="s">
        <v>39</v>
      </c>
      <c r="B46" s="34">
        <v>46241.0</v>
      </c>
      <c r="C46" s="22" t="s">
        <v>57</v>
      </c>
      <c r="D46" s="22" t="s">
        <v>179</v>
      </c>
      <c r="E46" s="22" t="s">
        <v>34</v>
      </c>
      <c r="F46" s="35">
        <v>1873.32</v>
      </c>
      <c r="G46" s="6"/>
      <c r="H46" s="22" t="s">
        <v>44</v>
      </c>
      <c r="I46" s="6"/>
      <c r="J46" s="6"/>
      <c r="K46" s="11"/>
    </row>
    <row r="47" ht="15.75" customHeight="1">
      <c r="A47" s="6" t="s">
        <v>39</v>
      </c>
      <c r="B47" s="8">
        <v>46241.0</v>
      </c>
      <c r="C47" s="6" t="s">
        <v>50</v>
      </c>
      <c r="D47" s="6" t="s">
        <v>183</v>
      </c>
      <c r="E47" s="6" t="s">
        <v>34</v>
      </c>
      <c r="F47" s="11">
        <v>468.0</v>
      </c>
      <c r="G47" s="6" t="s">
        <v>76</v>
      </c>
      <c r="H47" s="6" t="s">
        <v>44</v>
      </c>
      <c r="I47" s="6"/>
      <c r="J47" s="6" t="s">
        <v>45</v>
      </c>
      <c r="K47" s="11">
        <f>IF(A47="⏳ Pendiente",F47,0)</f>
        <v>0</v>
      </c>
    </row>
    <row r="48" ht="15.75" customHeight="1">
      <c r="A48" s="13"/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">
    <mergeCell ref="A1:K1"/>
  </mergeCells>
  <conditionalFormatting sqref="A4:K47">
    <cfRule type="expression" dxfId="4" priority="1">
      <formula>$A4="Pagado"</formula>
    </cfRule>
  </conditionalFormatting>
  <conditionalFormatting sqref="A4:K47">
    <cfRule type="expression" dxfId="5" priority="2">
      <formula>AND($A4="Pendiente",$B4&lt;TODAY(),$B4&lt;&gt;"")</formula>
    </cfRule>
  </conditionalFormatting>
  <conditionalFormatting sqref="A4:K47">
    <cfRule type="expression" dxfId="6" priority="3">
      <formula>$A4="No corresponde"</formula>
    </cfRule>
  </conditionalFormatting>
  <conditionalFormatting sqref="A4:K47">
    <cfRule type="expression" dxfId="7" priority="4">
      <formula>$A4="Pendiente / Pasa a mes que viene"</formula>
    </cfRule>
  </conditionalFormatting>
  <conditionalFormatting sqref="A4:K48">
    <cfRule type="expression" dxfId="4" priority="5">
      <formula>$A4="✅ Pagado"</formula>
    </cfRule>
  </conditionalFormatting>
  <conditionalFormatting sqref="A4:K48">
    <cfRule type="expression" dxfId="3" priority="6">
      <formula>$A4="⏳ Pendiente"</formula>
    </cfRule>
  </conditionalFormatting>
  <conditionalFormatting sqref="A4:K48">
    <cfRule type="expression" dxfId="8" priority="7">
      <formula>$A4="🗓️ Programado"</formula>
    </cfRule>
  </conditionalFormatting>
  <conditionalFormatting sqref="A4:K48">
    <cfRule type="expression" dxfId="5" priority="8">
      <formula>$A4="➡️ Pasa a próximo mes"</formula>
    </cfRule>
  </conditionalFormatting>
  <dataValidations>
    <dataValidation type="list" allowBlank="1" sqref="G4:G47">
      <formula1>"Alta,Media,Baja"</formula1>
    </dataValidation>
    <dataValidation type="list" allowBlank="1" sqref="H4:H47">
      <formula1>"Obligatorio,Postergable,Discrecional"</formula1>
    </dataValidation>
    <dataValidation type="list" allowBlank="1" sqref="A4:A48">
      <formula1>"✅ Pagado,⏳ Pendiente,🗓️ Programado,➡️ Pasa a próximo mes,➖ No corresponde"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18.0"/>
    <col customWidth="1" min="3" max="3" width="24.0"/>
    <col customWidth="1" min="4" max="4" width="16.0"/>
    <col customWidth="1" min="5" max="5" width="13.0"/>
    <col customWidth="1" min="6" max="6" width="17.0"/>
  </cols>
  <sheetData>
    <row r="1" ht="30.0" customHeight="1">
      <c r="A1" s="1" t="s">
        <v>75</v>
      </c>
    </row>
    <row r="3">
      <c r="A3" s="2" t="s">
        <v>78</v>
      </c>
      <c r="B3" s="2" t="s">
        <v>79</v>
      </c>
      <c r="C3" s="2" t="s">
        <v>80</v>
      </c>
      <c r="D3" s="2" t="s">
        <v>82</v>
      </c>
      <c r="E3" s="2" t="s">
        <v>9</v>
      </c>
      <c r="F3" s="2" t="s">
        <v>20</v>
      </c>
    </row>
    <row r="4">
      <c r="A4" s="3" t="s">
        <v>40</v>
      </c>
      <c r="B4" s="12">
        <v>1833.17</v>
      </c>
      <c r="C4" s="12">
        <f t="shared" ref="C4:C6" si="1">SUMIF($B$12:$B$50,A4,$D$12:$D$50)</f>
        <v>0</v>
      </c>
      <c r="D4" s="12">
        <f t="shared" ref="D4:D6" si="2">MAX(B4-C4,0)</f>
        <v>1833.17</v>
      </c>
      <c r="E4" s="3" t="s">
        <v>97</v>
      </c>
      <c r="F4" s="3" t="s">
        <v>98</v>
      </c>
    </row>
    <row r="5">
      <c r="A5" s="3" t="s">
        <v>52</v>
      </c>
      <c r="B5" s="12">
        <v>590.83</v>
      </c>
      <c r="C5" s="12">
        <f t="shared" si="1"/>
        <v>0</v>
      </c>
      <c r="D5" s="12">
        <f t="shared" si="2"/>
        <v>590.83</v>
      </c>
      <c r="E5" s="3" t="s">
        <v>97</v>
      </c>
      <c r="F5" s="3" t="s">
        <v>98</v>
      </c>
    </row>
    <row r="6">
      <c r="A6" s="3" t="s">
        <v>59</v>
      </c>
      <c r="B6" s="12">
        <v>488.6</v>
      </c>
      <c r="C6" s="12">
        <f t="shared" si="1"/>
        <v>488.6</v>
      </c>
      <c r="D6" s="12">
        <f t="shared" si="2"/>
        <v>0</v>
      </c>
      <c r="E6" s="3" t="s">
        <v>103</v>
      </c>
      <c r="F6" s="3" t="s">
        <v>105</v>
      </c>
    </row>
    <row r="8">
      <c r="A8" s="26" t="s">
        <v>106</v>
      </c>
      <c r="B8" s="28">
        <f t="shared" ref="B8:D8" si="3">SUM(B4:B6)</f>
        <v>2912.6</v>
      </c>
      <c r="C8" s="28">
        <f t="shared" si="3"/>
        <v>488.6</v>
      </c>
      <c r="D8" s="28">
        <f t="shared" si="3"/>
        <v>2424</v>
      </c>
      <c r="E8" s="26"/>
      <c r="F8" s="26"/>
    </row>
    <row r="11">
      <c r="A11" s="2" t="s">
        <v>10</v>
      </c>
      <c r="B11" s="2" t="s">
        <v>78</v>
      </c>
      <c r="C11" s="2" t="s">
        <v>16</v>
      </c>
      <c r="D11" s="2" t="s">
        <v>112</v>
      </c>
      <c r="E11" s="2" t="s">
        <v>113</v>
      </c>
      <c r="F11" s="2" t="s">
        <v>114</v>
      </c>
    </row>
    <row r="12">
      <c r="A12" s="30">
        <v>46247.0</v>
      </c>
      <c r="B12" s="3" t="s">
        <v>59</v>
      </c>
      <c r="C12" s="3" t="s">
        <v>117</v>
      </c>
      <c r="D12" s="12">
        <v>488.6</v>
      </c>
      <c r="E12" s="31">
        <v>39.0</v>
      </c>
      <c r="F12" s="9">
        <f t="shared" ref="F12:F50" si="4">D12*E12</f>
        <v>19055.4</v>
      </c>
    </row>
    <row r="13">
      <c r="A13" s="30"/>
      <c r="B13" s="3" t="s">
        <v>40</v>
      </c>
      <c r="C13" s="3" t="s">
        <v>123</v>
      </c>
      <c r="D13" s="12">
        <v>0.0</v>
      </c>
      <c r="E13" s="31">
        <v>39.0</v>
      </c>
      <c r="F13" s="9">
        <f t="shared" si="4"/>
        <v>0</v>
      </c>
    </row>
    <row r="14">
      <c r="A14" s="30"/>
      <c r="B14" s="3" t="s">
        <v>52</v>
      </c>
      <c r="C14" s="3" t="s">
        <v>123</v>
      </c>
      <c r="D14" s="12">
        <v>0.0</v>
      </c>
      <c r="E14" s="31">
        <v>39.0</v>
      </c>
      <c r="F14" s="9">
        <f t="shared" si="4"/>
        <v>0</v>
      </c>
    </row>
    <row r="15">
      <c r="A15" s="30"/>
      <c r="B15" s="3"/>
      <c r="D15" s="12"/>
      <c r="E15" s="31"/>
      <c r="F15" s="9">
        <f t="shared" si="4"/>
        <v>0</v>
      </c>
    </row>
    <row r="16">
      <c r="A16" s="30"/>
      <c r="B16" s="3"/>
      <c r="D16" s="12"/>
      <c r="E16" s="31"/>
      <c r="F16" s="9">
        <f t="shared" si="4"/>
        <v>0</v>
      </c>
    </row>
    <row r="17">
      <c r="A17" s="30"/>
      <c r="B17" s="3"/>
      <c r="D17" s="12"/>
      <c r="E17" s="31"/>
      <c r="F17" s="9">
        <f t="shared" si="4"/>
        <v>0</v>
      </c>
    </row>
    <row r="18">
      <c r="A18" s="30"/>
      <c r="B18" s="3"/>
      <c r="D18" s="12"/>
      <c r="E18" s="31"/>
      <c r="F18" s="9">
        <f t="shared" si="4"/>
        <v>0</v>
      </c>
    </row>
    <row r="19">
      <c r="A19" s="30"/>
      <c r="B19" s="3"/>
      <c r="D19" s="12"/>
      <c r="E19" s="31"/>
      <c r="F19" s="9">
        <f t="shared" si="4"/>
        <v>0</v>
      </c>
    </row>
    <row r="20">
      <c r="A20" s="30"/>
      <c r="B20" s="3"/>
      <c r="D20" s="12"/>
      <c r="E20" s="31"/>
      <c r="F20" s="9">
        <f t="shared" si="4"/>
        <v>0</v>
      </c>
    </row>
    <row r="21" ht="15.75" customHeight="1">
      <c r="A21" s="30"/>
      <c r="B21" s="3"/>
      <c r="D21" s="12"/>
      <c r="E21" s="31"/>
      <c r="F21" s="9">
        <f t="shared" si="4"/>
        <v>0</v>
      </c>
    </row>
    <row r="22" ht="15.75" customHeight="1">
      <c r="A22" s="30"/>
      <c r="B22" s="3"/>
      <c r="D22" s="12"/>
      <c r="E22" s="31"/>
      <c r="F22" s="9">
        <f t="shared" si="4"/>
        <v>0</v>
      </c>
    </row>
    <row r="23" ht="15.75" customHeight="1">
      <c r="A23" s="30"/>
      <c r="B23" s="3"/>
      <c r="D23" s="12"/>
      <c r="E23" s="31"/>
      <c r="F23" s="9">
        <f t="shared" si="4"/>
        <v>0</v>
      </c>
    </row>
    <row r="24" ht="15.75" customHeight="1">
      <c r="A24" s="30"/>
      <c r="B24" s="3"/>
      <c r="D24" s="12"/>
      <c r="E24" s="31"/>
      <c r="F24" s="9">
        <f t="shared" si="4"/>
        <v>0</v>
      </c>
    </row>
    <row r="25" ht="15.75" customHeight="1">
      <c r="A25" s="30"/>
      <c r="B25" s="3"/>
      <c r="D25" s="12"/>
      <c r="E25" s="31"/>
      <c r="F25" s="9">
        <f t="shared" si="4"/>
        <v>0</v>
      </c>
    </row>
    <row r="26" ht="15.75" customHeight="1">
      <c r="A26" s="30"/>
      <c r="B26" s="3"/>
      <c r="D26" s="12"/>
      <c r="E26" s="31"/>
      <c r="F26" s="9">
        <f t="shared" si="4"/>
        <v>0</v>
      </c>
    </row>
    <row r="27" ht="15.75" customHeight="1">
      <c r="A27" s="30"/>
      <c r="B27" s="3"/>
      <c r="D27" s="12"/>
      <c r="E27" s="31"/>
      <c r="F27" s="9">
        <f t="shared" si="4"/>
        <v>0</v>
      </c>
    </row>
    <row r="28" ht="15.75" customHeight="1">
      <c r="A28" s="30"/>
      <c r="B28" s="3"/>
      <c r="D28" s="12"/>
      <c r="E28" s="31"/>
      <c r="F28" s="9">
        <f t="shared" si="4"/>
        <v>0</v>
      </c>
    </row>
    <row r="29" ht="15.75" customHeight="1">
      <c r="A29" s="30"/>
      <c r="B29" s="3"/>
      <c r="D29" s="12"/>
      <c r="E29" s="31"/>
      <c r="F29" s="9">
        <f t="shared" si="4"/>
        <v>0</v>
      </c>
    </row>
    <row r="30" ht="15.75" customHeight="1">
      <c r="A30" s="30"/>
      <c r="B30" s="3"/>
      <c r="D30" s="12"/>
      <c r="E30" s="31"/>
      <c r="F30" s="9">
        <f t="shared" si="4"/>
        <v>0</v>
      </c>
    </row>
    <row r="31" ht="15.75" customHeight="1">
      <c r="A31" s="30"/>
      <c r="B31" s="3"/>
      <c r="D31" s="12"/>
      <c r="E31" s="31"/>
      <c r="F31" s="9">
        <f t="shared" si="4"/>
        <v>0</v>
      </c>
    </row>
    <row r="32" ht="15.75" customHeight="1">
      <c r="A32" s="30"/>
      <c r="B32" s="3"/>
      <c r="D32" s="12"/>
      <c r="E32" s="31"/>
      <c r="F32" s="9">
        <f t="shared" si="4"/>
        <v>0</v>
      </c>
    </row>
    <row r="33" ht="15.75" customHeight="1">
      <c r="A33" s="30"/>
      <c r="B33" s="3"/>
      <c r="D33" s="12"/>
      <c r="E33" s="31"/>
      <c r="F33" s="9">
        <f t="shared" si="4"/>
        <v>0</v>
      </c>
    </row>
    <row r="34" ht="15.75" customHeight="1">
      <c r="A34" s="30"/>
      <c r="B34" s="3"/>
      <c r="D34" s="12"/>
      <c r="E34" s="31"/>
      <c r="F34" s="9">
        <f t="shared" si="4"/>
        <v>0</v>
      </c>
    </row>
    <row r="35" ht="15.75" customHeight="1">
      <c r="A35" s="30"/>
      <c r="B35" s="3"/>
      <c r="D35" s="12"/>
      <c r="E35" s="31"/>
      <c r="F35" s="9">
        <f t="shared" si="4"/>
        <v>0</v>
      </c>
    </row>
    <row r="36" ht="15.75" customHeight="1">
      <c r="A36" s="30"/>
      <c r="B36" s="3"/>
      <c r="D36" s="12"/>
      <c r="E36" s="31"/>
      <c r="F36" s="9">
        <f t="shared" si="4"/>
        <v>0</v>
      </c>
    </row>
    <row r="37" ht="15.75" customHeight="1">
      <c r="A37" s="30"/>
      <c r="B37" s="3"/>
      <c r="D37" s="12"/>
      <c r="E37" s="31"/>
      <c r="F37" s="9">
        <f t="shared" si="4"/>
        <v>0</v>
      </c>
    </row>
    <row r="38" ht="15.75" customHeight="1">
      <c r="A38" s="30"/>
      <c r="B38" s="3"/>
      <c r="D38" s="12"/>
      <c r="E38" s="31"/>
      <c r="F38" s="9">
        <f t="shared" si="4"/>
        <v>0</v>
      </c>
    </row>
    <row r="39" ht="15.75" customHeight="1">
      <c r="A39" s="30"/>
      <c r="B39" s="3"/>
      <c r="D39" s="12"/>
      <c r="E39" s="31"/>
      <c r="F39" s="9">
        <f t="shared" si="4"/>
        <v>0</v>
      </c>
    </row>
    <row r="40" ht="15.75" customHeight="1">
      <c r="A40" s="30"/>
      <c r="B40" s="3"/>
      <c r="D40" s="12"/>
      <c r="E40" s="31"/>
      <c r="F40" s="9">
        <f t="shared" si="4"/>
        <v>0</v>
      </c>
    </row>
    <row r="41" ht="15.75" customHeight="1">
      <c r="A41" s="30"/>
      <c r="B41" s="3"/>
      <c r="D41" s="12"/>
      <c r="E41" s="31"/>
      <c r="F41" s="9">
        <f t="shared" si="4"/>
        <v>0</v>
      </c>
    </row>
    <row r="42" ht="15.75" customHeight="1">
      <c r="A42" s="30"/>
      <c r="B42" s="3"/>
      <c r="D42" s="12"/>
      <c r="E42" s="31"/>
      <c r="F42" s="9">
        <f t="shared" si="4"/>
        <v>0</v>
      </c>
    </row>
    <row r="43" ht="15.75" customHeight="1">
      <c r="A43" s="30"/>
      <c r="B43" s="3"/>
      <c r="D43" s="12"/>
      <c r="E43" s="31"/>
      <c r="F43" s="9">
        <f t="shared" si="4"/>
        <v>0</v>
      </c>
    </row>
    <row r="44" ht="15.75" customHeight="1">
      <c r="A44" s="30"/>
      <c r="B44" s="3"/>
      <c r="D44" s="12"/>
      <c r="E44" s="31"/>
      <c r="F44" s="9">
        <f t="shared" si="4"/>
        <v>0</v>
      </c>
    </row>
    <row r="45" ht="15.75" customHeight="1">
      <c r="A45" s="30"/>
      <c r="B45" s="3"/>
      <c r="D45" s="12"/>
      <c r="E45" s="31"/>
      <c r="F45" s="9">
        <f t="shared" si="4"/>
        <v>0</v>
      </c>
    </row>
    <row r="46" ht="15.75" customHeight="1">
      <c r="A46" s="30"/>
      <c r="B46" s="3"/>
      <c r="D46" s="12"/>
      <c r="E46" s="31"/>
      <c r="F46" s="9">
        <f t="shared" si="4"/>
        <v>0</v>
      </c>
    </row>
    <row r="47" ht="15.75" customHeight="1">
      <c r="A47" s="30"/>
      <c r="B47" s="3"/>
      <c r="D47" s="12"/>
      <c r="E47" s="31"/>
      <c r="F47" s="9">
        <f t="shared" si="4"/>
        <v>0</v>
      </c>
    </row>
    <row r="48" ht="15.75" customHeight="1">
      <c r="A48" s="30"/>
      <c r="B48" s="3"/>
      <c r="D48" s="12"/>
      <c r="E48" s="31"/>
      <c r="F48" s="9">
        <f t="shared" si="4"/>
        <v>0</v>
      </c>
    </row>
    <row r="49" ht="15.75" customHeight="1">
      <c r="A49" s="30"/>
      <c r="B49" s="3"/>
      <c r="D49" s="12"/>
      <c r="E49" s="31"/>
      <c r="F49" s="9">
        <f t="shared" si="4"/>
        <v>0</v>
      </c>
    </row>
    <row r="50" ht="15.75" customHeight="1">
      <c r="A50" s="30"/>
      <c r="B50" s="3"/>
      <c r="D50" s="12"/>
      <c r="E50" s="31"/>
      <c r="F50" s="9">
        <f t="shared" si="4"/>
        <v>0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dataValidations>
    <dataValidation type="list" allowBlank="1" sqref="B12:B50">
      <formula1>"Scotiabank,BBVA,Santander"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0.0"/>
    <col customWidth="1" min="3" max="3" width="11.88"/>
    <col customWidth="1" min="4" max="7" width="15.0"/>
    <col customWidth="1" min="8" max="8" width="18.0"/>
    <col customWidth="1" min="9" max="9" width="15.0"/>
    <col customWidth="1" min="10" max="10" width="18.0"/>
    <col customWidth="1" min="11" max="11" width="40.0"/>
  </cols>
  <sheetData>
    <row r="1" ht="30.0" customHeight="1">
      <c r="A1" s="1" t="s">
        <v>141</v>
      </c>
    </row>
    <row r="3">
      <c r="A3" s="2" t="s">
        <v>9</v>
      </c>
      <c r="B3" s="2" t="s">
        <v>142</v>
      </c>
      <c r="C3" s="2" t="s">
        <v>143</v>
      </c>
      <c r="D3" s="2" t="s">
        <v>144</v>
      </c>
      <c r="E3" s="2" t="s">
        <v>145</v>
      </c>
      <c r="F3" s="2" t="s">
        <v>146</v>
      </c>
      <c r="G3" s="2" t="s">
        <v>22</v>
      </c>
      <c r="H3" s="2" t="s">
        <v>147</v>
      </c>
      <c r="I3" s="2" t="s">
        <v>148</v>
      </c>
      <c r="J3" s="2" t="s">
        <v>149</v>
      </c>
      <c r="K3" s="2" t="s">
        <v>20</v>
      </c>
    </row>
    <row r="4">
      <c r="A4" s="6" t="s">
        <v>23</v>
      </c>
      <c r="B4" s="33" t="s">
        <v>150</v>
      </c>
      <c r="C4" s="6">
        <v>4.0</v>
      </c>
      <c r="D4" s="11">
        <v>830.0</v>
      </c>
      <c r="E4" s="11">
        <v>3320.0</v>
      </c>
      <c r="F4" s="11">
        <f>E4/(1+'Configuración'!$B$5)</f>
        <v>2721.311475</v>
      </c>
      <c r="G4" s="11">
        <f t="shared" ref="G4:G11" si="1">E4-F4</f>
        <v>598.6885246</v>
      </c>
      <c r="H4" s="6" t="s">
        <v>45</v>
      </c>
      <c r="I4" s="6" t="s">
        <v>125</v>
      </c>
      <c r="J4" s="11">
        <f t="shared" ref="J4:J11" si="2">IF(I4="Sí",0,G4)</f>
        <v>598.6885246</v>
      </c>
      <c r="K4" s="6" t="s">
        <v>153</v>
      </c>
    </row>
    <row r="5">
      <c r="A5" s="6" t="s">
        <v>23</v>
      </c>
      <c r="B5" s="33" t="s">
        <v>154</v>
      </c>
      <c r="C5" s="6">
        <v>4.0</v>
      </c>
      <c r="D5" s="11">
        <v>830.0</v>
      </c>
      <c r="E5" s="11">
        <v>3320.0</v>
      </c>
      <c r="F5" s="11">
        <f>E5/(1+'Configuración'!$B$5)</f>
        <v>2721.311475</v>
      </c>
      <c r="G5" s="11">
        <f t="shared" si="1"/>
        <v>598.6885246</v>
      </c>
      <c r="H5" s="6" t="s">
        <v>45</v>
      </c>
      <c r="I5" s="6" t="s">
        <v>125</v>
      </c>
      <c r="J5" s="11">
        <f t="shared" si="2"/>
        <v>598.6885246</v>
      </c>
      <c r="K5" s="6" t="s">
        <v>153</v>
      </c>
    </row>
    <row r="6">
      <c r="A6" s="6" t="s">
        <v>23</v>
      </c>
      <c r="B6" s="6" t="s">
        <v>28</v>
      </c>
      <c r="C6" s="6"/>
      <c r="D6" s="11"/>
      <c r="E6" s="11">
        <v>44577.0</v>
      </c>
      <c r="F6" s="11">
        <f>E6/(1+'Configuración'!$B$5)</f>
        <v>36538.52459</v>
      </c>
      <c r="G6" s="11">
        <f t="shared" si="1"/>
        <v>8038.47541</v>
      </c>
      <c r="H6" s="6" t="s">
        <v>156</v>
      </c>
      <c r="I6" s="6" t="s">
        <v>125</v>
      </c>
      <c r="J6" s="11">
        <f t="shared" si="2"/>
        <v>8038.47541</v>
      </c>
      <c r="K6" s="6" t="s">
        <v>158</v>
      </c>
    </row>
    <row r="7">
      <c r="A7" s="6" t="s">
        <v>61</v>
      </c>
      <c r="B7" s="6" t="s">
        <v>89</v>
      </c>
      <c r="C7" s="6">
        <v>3.0</v>
      </c>
      <c r="D7" s="11">
        <v>830.0</v>
      </c>
      <c r="E7" s="11">
        <v>2490.0</v>
      </c>
      <c r="F7" s="11">
        <f>E7/(1+'Configuración'!$B$5)</f>
        <v>2040.983607</v>
      </c>
      <c r="G7" s="11">
        <f t="shared" si="1"/>
        <v>449.0163934</v>
      </c>
      <c r="H7" s="6" t="s">
        <v>45</v>
      </c>
      <c r="I7" s="6" t="s">
        <v>125</v>
      </c>
      <c r="J7" s="11">
        <f t="shared" si="2"/>
        <v>449.0163934</v>
      </c>
      <c r="K7" s="6" t="s">
        <v>161</v>
      </c>
    </row>
    <row r="8">
      <c r="A8" s="22" t="s">
        <v>23</v>
      </c>
      <c r="B8" s="6" t="s">
        <v>95</v>
      </c>
      <c r="C8" s="6">
        <v>2.0</v>
      </c>
      <c r="D8" s="11">
        <v>830.0</v>
      </c>
      <c r="E8" s="11">
        <v>1660.0</v>
      </c>
      <c r="F8" s="11">
        <f>E8/(1+'Configuración'!$B$5)</f>
        <v>1360.655738</v>
      </c>
      <c r="G8" s="11">
        <f t="shared" si="1"/>
        <v>299.3442623</v>
      </c>
      <c r="H8" s="6" t="s">
        <v>45</v>
      </c>
      <c r="I8" s="6" t="s">
        <v>125</v>
      </c>
      <c r="J8" s="11">
        <f t="shared" si="2"/>
        <v>299.3442623</v>
      </c>
      <c r="K8" s="6" t="s">
        <v>161</v>
      </c>
    </row>
    <row r="9">
      <c r="A9" s="22" t="s">
        <v>23</v>
      </c>
      <c r="B9" s="6" t="s">
        <v>104</v>
      </c>
      <c r="C9" s="6">
        <v>3.0</v>
      </c>
      <c r="D9" s="11">
        <v>830.0</v>
      </c>
      <c r="E9" s="11">
        <v>2490.0</v>
      </c>
      <c r="F9" s="11">
        <f>E9/(1+'Configuración'!$B$5)</f>
        <v>2040.983607</v>
      </c>
      <c r="G9" s="11">
        <f t="shared" si="1"/>
        <v>449.0163934</v>
      </c>
      <c r="H9" s="6" t="s">
        <v>45</v>
      </c>
      <c r="I9" s="6" t="s">
        <v>125</v>
      </c>
      <c r="J9" s="11">
        <f t="shared" si="2"/>
        <v>449.0163934</v>
      </c>
      <c r="K9" s="6" t="s">
        <v>161</v>
      </c>
    </row>
    <row r="10">
      <c r="A10" s="22" t="s">
        <v>23</v>
      </c>
      <c r="B10" s="6" t="s">
        <v>110</v>
      </c>
      <c r="C10" s="6">
        <v>3.0</v>
      </c>
      <c r="D10" s="11">
        <v>2013.0</v>
      </c>
      <c r="E10" s="11">
        <v>6039.0</v>
      </c>
      <c r="F10" s="11">
        <f>E10/(1+'Configuración'!$B$5)</f>
        <v>4950</v>
      </c>
      <c r="G10" s="11">
        <f t="shared" si="1"/>
        <v>1089</v>
      </c>
      <c r="H10" s="6" t="s">
        <v>164</v>
      </c>
      <c r="I10" s="6" t="s">
        <v>125</v>
      </c>
      <c r="J10" s="11">
        <f t="shared" si="2"/>
        <v>1089</v>
      </c>
      <c r="K10" s="6" t="s">
        <v>161</v>
      </c>
    </row>
    <row r="11">
      <c r="A11" s="6" t="s">
        <v>61</v>
      </c>
      <c r="B11" s="6" t="s">
        <v>165</v>
      </c>
      <c r="C11" s="6">
        <v>8.0</v>
      </c>
      <c r="D11" s="11">
        <v>775.0</v>
      </c>
      <c r="E11" s="11">
        <f>C11*D11</f>
        <v>6200</v>
      </c>
      <c r="F11" s="11">
        <f>E11/(1+'Configuración'!$B$5)</f>
        <v>5081.967213</v>
      </c>
      <c r="G11" s="11">
        <f t="shared" si="1"/>
        <v>1118.032787</v>
      </c>
      <c r="H11" s="6" t="s">
        <v>45</v>
      </c>
      <c r="I11" s="6" t="s">
        <v>125</v>
      </c>
      <c r="J11" s="11">
        <f t="shared" si="2"/>
        <v>1118.032787</v>
      </c>
      <c r="K11" s="6" t="s"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K1"/>
  </mergeCells>
  <conditionalFormatting sqref="A4:K11">
    <cfRule type="expression" dxfId="2" priority="1">
      <formula>$I4="Sí"</formula>
    </cfRule>
  </conditionalFormatting>
  <dataValidations>
    <dataValidation type="list" allowBlank="1" sqref="I4:I11">
      <formula1>"Sí,No"</formula1>
    </dataValidation>
    <dataValidation type="list" allowBlank="1" sqref="A4:A11">
      <formula1>"Cobrado,Pendiente"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6" width="22.0"/>
  </cols>
  <sheetData>
    <row r="1" ht="30.0" customHeight="1">
      <c r="A1" s="1" t="s">
        <v>176</v>
      </c>
    </row>
    <row r="3">
      <c r="A3" s="2" t="s">
        <v>21</v>
      </c>
      <c r="B3" s="2" t="s">
        <v>177</v>
      </c>
      <c r="C3" s="2" t="s">
        <v>178</v>
      </c>
      <c r="D3" s="2" t="s">
        <v>180</v>
      </c>
      <c r="E3" s="2" t="s">
        <v>181</v>
      </c>
      <c r="F3" s="2" t="s">
        <v>182</v>
      </c>
    </row>
    <row r="4">
      <c r="A4" s="3" t="s">
        <v>25</v>
      </c>
      <c r="B4" s="9">
        <f>Dashboard!B4</f>
        <v>242519</v>
      </c>
      <c r="C4" s="9">
        <f>Dashboard!E4</f>
        <v>3034.737705</v>
      </c>
      <c r="D4" s="9">
        <f>Dashboard!B8</f>
        <v>92041.92</v>
      </c>
      <c r="E4" s="9">
        <f>Dashboard!E6</f>
        <v>0</v>
      </c>
      <c r="F4" s="12">
        <f>'Deudas USD'!D8</f>
        <v>2424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